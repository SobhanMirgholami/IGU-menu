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rkçe" sheetId="1" state="visible" r:id="rId1"/>
    <sheet xmlns:r="http://schemas.openxmlformats.org/officeDocument/2006/relationships" name="English" sheetId="2" state="visible" r:id="rId2"/>
    <sheet xmlns:r="http://schemas.openxmlformats.org/officeDocument/2006/relationships" name="العربية" sheetId="3" state="visible" r:id="rId3"/>
  </sheets>
  <definedNames>
    <definedName name="TEMPLATE_VERSION">"v3"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₺&quot;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5B6688"/>
      <sz val="9"/>
    </font>
    <font>
      <name val="Arial"/>
      <b val="1"/>
      <color rgb="000E1630"/>
      <sz val="10"/>
    </font>
    <font>
      <name val="Arial"/>
      <color rgb="000E1630"/>
      <sz val="10"/>
    </font>
    <font>
      <name val="Arial"/>
      <b val="1"/>
      <color rgb="000B3D91"/>
      <sz val="20"/>
    </font>
    <font>
      <name val="Arial"/>
      <b val="1"/>
      <color rgb="000E1630"/>
      <sz val="20"/>
    </font>
    <font>
      <name val="Arial"/>
      <b val="1"/>
      <color rgb="001E9E6A"/>
      <sz val="20"/>
    </font>
    <font>
      <name val="Arial"/>
      <b val="1"/>
      <color rgb="00B33A1E"/>
      <sz val="20"/>
    </font>
    <font>
      <name val="Arial"/>
      <b val="1"/>
      <color rgb="000B3D91"/>
      <sz val="12"/>
    </font>
    <font>
      <name val="Arial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EEF3FF"/>
      </patternFill>
    </fill>
    <fill>
      <patternFill patternType="solid">
        <fgColor rgb="00F7F9FE"/>
      </patternFill>
    </fill>
  </fills>
  <borders count="7">
    <border>
      <left/>
      <right/>
      <top/>
      <bottom/>
      <diagonal/>
    </border>
    <border>
      <top style="medium">
        <color rgb="000B3D91"/>
      </top>
    </border>
    <border>
      <bottom style="thin">
        <color rgb="00D5DCEE"/>
      </bottom>
    </border>
    <border>
      <top style="medium">
        <color rgb="000E1630"/>
      </top>
    </border>
    <border>
      <top style="medium">
        <color rgb="001E9E6A"/>
      </top>
    </border>
    <border>
      <top style="medium">
        <color rgb="00B33A1E"/>
      </top>
    </border>
    <border>
      <bottom style="medium">
        <color rgb="000B3D9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right" vertical="center" indent="1"/>
    </xf>
    <xf numFmtId="0" fontId="4" fillId="0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2" fillId="3" borderId="3" applyAlignment="1" pivotButton="0" quotePrefix="0" xfId="0">
      <alignment horizontal="left" vertical="center" indent="1"/>
    </xf>
    <xf numFmtId="0" fontId="0" fillId="3" borderId="3" pivotButton="0" quotePrefix="0" xfId="0"/>
    <xf numFmtId="0" fontId="2" fillId="3" borderId="4" applyAlignment="1" pivotButton="0" quotePrefix="0" xfId="0">
      <alignment horizontal="left" vertical="center" indent="1"/>
    </xf>
    <xf numFmtId="0" fontId="0" fillId="3" borderId="4" pivotButton="0" quotePrefix="0" xfId="0"/>
    <xf numFmtId="0" fontId="2" fillId="3" borderId="5" applyAlignment="1" pivotButton="0" quotePrefix="0" xfId="0">
      <alignment horizontal="left" vertical="center" indent="1"/>
    </xf>
    <xf numFmtId="0" fontId="0" fillId="3" borderId="5" pivotButton="0" quotePrefix="0" xfId="0"/>
    <xf numFmtId="164" fontId="5" fillId="3" borderId="2" applyAlignment="1" pivotButton="0" quotePrefix="0" xfId="0">
      <alignment horizontal="left" vertical="center" indent="1"/>
    </xf>
    <xf numFmtId="0" fontId="0" fillId="3" borderId="2" pivotButton="0" quotePrefix="0" xfId="0"/>
    <xf numFmtId="3" fontId="6" fillId="3" borderId="2" applyAlignment="1" pivotButton="0" quotePrefix="0" xfId="0">
      <alignment horizontal="left" vertical="center" indent="1"/>
    </xf>
    <xf numFmtId="164" fontId="7" fillId="3" borderId="2" applyAlignment="1" pivotButton="0" quotePrefix="0" xfId="0">
      <alignment horizontal="left" vertical="center" indent="1"/>
    </xf>
    <xf numFmtId="3" fontId="8" fillId="3" borderId="2" applyAlignment="1" pivotButton="0" quotePrefix="0" xfId="0">
      <alignment horizontal="left" vertical="center" indent="1"/>
    </xf>
    <xf numFmtId="0" fontId="9" fillId="0" borderId="6" pivotButton="0" quotePrefix="0" xfId="0"/>
    <xf numFmtId="0" fontId="0" fillId="0" borderId="6" pivotButton="0" quotePrefix="0" xfId="0"/>
    <xf numFmtId="0" fontId="10" fillId="2" borderId="0" applyAlignment="1" pivotButton="0" quotePrefix="0" xfId="0">
      <alignment horizontal="left" vertical="center" indent="1"/>
    </xf>
    <xf numFmtId="0" fontId="10" fillId="2" borderId="0" applyAlignment="1" pivotButton="0" quotePrefix="0" xfId="0">
      <alignment horizontal="right" vertical="center" indent="1"/>
    </xf>
    <xf numFmtId="0" fontId="4" fillId="0" borderId="2" applyAlignment="1" pivotButton="0" quotePrefix="0" xfId="0">
      <alignment horizontal="left" vertical="center" indent="1"/>
    </xf>
    <xf numFmtId="3" fontId="4" fillId="0" borderId="2" applyAlignment="1" pivotButton="0" quotePrefix="0" xfId="0">
      <alignment horizontal="right" vertical="center" indent="1"/>
    </xf>
    <xf numFmtId="164" fontId="3" fillId="0" borderId="2" applyAlignment="1" pivotButton="0" quotePrefix="0" xfId="0">
      <alignment horizontal="right" vertical="center" indent="1"/>
    </xf>
    <xf numFmtId="164" fontId="4" fillId="0" borderId="2" applyAlignment="1" pivotButton="0" quotePrefix="0" xfId="0">
      <alignment horizontal="right" vertical="center" indent="1"/>
    </xf>
    <xf numFmtId="165" fontId="4" fillId="0" borderId="2" applyAlignment="1" pivotButton="0" quotePrefix="0" xfId="0">
      <alignment horizontal="right" vertical="center" indent="1"/>
    </xf>
    <xf numFmtId="0" fontId="4" fillId="4" borderId="2" applyAlignment="1" pivotButton="0" quotePrefix="0" xfId="0">
      <alignment horizontal="left" vertical="center" indent="1"/>
    </xf>
    <xf numFmtId="3" fontId="4" fillId="4" borderId="2" applyAlignment="1" pivotButton="0" quotePrefix="0" xfId="0">
      <alignment horizontal="right" vertical="center" indent="1"/>
    </xf>
    <xf numFmtId="164" fontId="3" fillId="4" borderId="2" applyAlignment="1" pivotButton="0" quotePrefix="0" xfId="0">
      <alignment horizontal="right" vertical="center" indent="1"/>
    </xf>
    <xf numFmtId="164" fontId="4" fillId="4" borderId="2" applyAlignment="1" pivotButton="0" quotePrefix="0" xfId="0">
      <alignment horizontal="right" vertical="center" indent="1"/>
    </xf>
    <xf numFmtId="165" fontId="4" fillId="4" borderId="2" applyAlignment="1" pivotButton="0" quotePrefix="0" xfId="0">
      <alignment horizontal="right" vertical="center" indent="1"/>
    </xf>
    <xf numFmtId="0" fontId="10" fillId="2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right" vertical="center" indent="1"/>
    </xf>
    <xf numFmtId="0" fontId="4" fillId="4" borderId="2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0E1630"/>
                </a:solidFill>
                <a:latin typeface="Arial"/>
              </a:defRPr>
            </a:pPr>
            <a:r>
              <a:t>Saatlere göre siparişler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'Türkçe'!C43</f>
            </strRef>
          </tx>
          <spPr>
            <a:solidFill xmlns:a="http://schemas.openxmlformats.org/drawingml/2006/main">
              <a:srgbClr val="0B3D91"/>
            </a:solidFill>
            <a:ln xmlns:a="http://schemas.openxmlformats.org/drawingml/2006/main">
              <a:noFill/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0E1630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0E1630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'Türkçe'!$B$44:$B$67</f>
            </numRef>
          </cat>
          <val>
            <numRef>
              <f>'Türkçe'!$C$44:$C$67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5DCEE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B6688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B6688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5DCEE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B6688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B6688"/>
              </a:solidFill>
              <a:latin typeface="Arial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solidFill>
        <a:srgbClr val="D5DCEE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0E1630"/>
                </a:solidFill>
                <a:latin typeface="Arial"/>
              </a:defRPr>
            </a:pPr>
            <a:r>
              <a:t>Saatlere göre gelir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'Türkçe'!D43</f>
            </strRef>
          </tx>
          <spPr>
            <a:ln xmlns:a="http://schemas.openxmlformats.org/drawingml/2006/main" w="34925">
              <a:solidFill>
                <a:srgbClr val="1E9E6A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FFFFFF"/>
              </a:solidFill>
              <a:ln xmlns:a="http://schemas.openxmlformats.org/drawingml/2006/main" w="22225">
                <a:solidFill>
                  <a:srgbClr val="1E9E6A"/>
                </a:solidFill>
                <a:prstDash val="solid"/>
              </a:ln>
            </spPr>
          </marker>
          <cat>
            <numRef>
              <f>'Türkçe'!$B$44:$B$67</f>
            </numRef>
          </cat>
          <val>
            <numRef>
              <f>'Türkçe'!$D$44:$D$67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5DCEE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B6688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B6688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5DCEE"/>
              </a:solidFill>
              <a:prstDash val="solid"/>
            </a:ln>
          </spPr>
        </majorGridlines>
        <numFmt formatCode="#,##0 &quot;₺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B6688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B6688"/>
              </a:solidFill>
              <a:latin typeface="Arial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solidFill>
        <a:srgbClr val="D5DCEE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0E1630"/>
                </a:solidFill>
                <a:latin typeface="Arial"/>
              </a:defRPr>
            </a:pPr>
            <a:r>
              <a:t>En çok satanlar (adet, ilk 10)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'Türkçe'!E70</f>
            </strRef>
          </tx>
          <spPr>
            <a:solidFill xmlns:a="http://schemas.openxmlformats.org/drawingml/2006/main">
              <a:srgbClr val="FFC93C"/>
            </a:solidFill>
            <a:ln xmlns:a="http://schemas.openxmlformats.org/drawingml/2006/main">
              <a:noFill/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0E1630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0E1630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'Türkçe'!$B$71:$B$80</f>
            </numRef>
          </cat>
          <val>
            <numRef>
              <f>'Türkçe'!$E$71:$E$80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5DCEE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B6688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B6688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5DCEE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B6688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B6688"/>
              </a:solidFill>
              <a:latin typeface="Arial"/>
            </a:endParaRPr>
          </a:p>
        </txPr>
        <crossAx val="10"/>
        <crosses val="max"/>
      </valAx>
    </plotArea>
    <plotVisOnly val="1"/>
    <dispBlanksAs val="gap"/>
  </chart>
  <spPr>
    <a:ln xmlns:a="http://schemas.openxmlformats.org/drawingml/2006/main">
      <a:solidFill>
        <a:srgbClr val="D5DCEE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0E1630"/>
                </a:solidFill>
                <a:latin typeface="Arial"/>
              </a:defRPr>
            </a:pPr>
            <a:r>
              <a:t>Ürünlere göre gelir (ilk 10)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'Türkçe'!F70</f>
            </strRef>
          </tx>
          <spPr>
            <a:solidFill xmlns:a="http://schemas.openxmlformats.org/drawingml/2006/main">
              <a:srgbClr val="1E9E6A"/>
            </a:solidFill>
            <a:ln xmlns:a="http://schemas.openxmlformats.org/drawingml/2006/main">
              <a:noFill/>
              <a:prstDash val="solid"/>
            </a:ln>
          </spPr>
          <dLbls>
            <numFmt formatCode="#,##0 &quot;₺&quot;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0E1630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0E1630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'Türkçe'!$B$71:$B$80</f>
            </numRef>
          </cat>
          <val>
            <numRef>
              <f>'Türkçe'!$F$71:$F$80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5DCEE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B6688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B6688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5DCEE"/>
              </a:solidFill>
              <a:prstDash val="solid"/>
            </a:ln>
          </spPr>
        </majorGridlines>
        <numFmt formatCode="#,##0 &quot;₺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B6688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B6688"/>
              </a:solidFill>
              <a:latin typeface="Arial"/>
            </a:endParaRPr>
          </a:p>
        </txPr>
        <crossAx val="10"/>
        <crosses val="max"/>
      </valAx>
    </plotArea>
    <plotVisOnly val="1"/>
    <dispBlanksAs val="gap"/>
  </chart>
  <spPr>
    <a:ln xmlns:a="http://schemas.openxmlformats.org/drawingml/2006/main">
      <a:solidFill>
        <a:srgbClr val="D5DCEE"/>
      </a:solidFill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0E1630"/>
                </a:solidFill>
                <a:latin typeface="Arial"/>
              </a:defRPr>
            </a:pPr>
            <a:r>
              <a:t>Orders by hour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'English'!C43</f>
            </strRef>
          </tx>
          <spPr>
            <a:solidFill xmlns:a="http://schemas.openxmlformats.org/drawingml/2006/main">
              <a:srgbClr val="0B3D91"/>
            </a:solidFill>
            <a:ln xmlns:a="http://schemas.openxmlformats.org/drawingml/2006/main">
              <a:noFill/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0E1630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0E1630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'English'!$B$44:$B$67</f>
            </numRef>
          </cat>
          <val>
            <numRef>
              <f>'English'!$C$44:$C$67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5DCEE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B6688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B6688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5DCEE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B6688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B6688"/>
              </a:solidFill>
              <a:latin typeface="Arial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solidFill>
        <a:srgbClr val="D5DCEE"/>
      </a:solidFill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0E1630"/>
                </a:solidFill>
                <a:latin typeface="Arial"/>
              </a:defRPr>
            </a:pPr>
            <a:r>
              <a:t>Income by hour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'English'!D43</f>
            </strRef>
          </tx>
          <spPr>
            <a:ln xmlns:a="http://schemas.openxmlformats.org/drawingml/2006/main" w="34925">
              <a:solidFill>
                <a:srgbClr val="1E9E6A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FFFFFF"/>
              </a:solidFill>
              <a:ln xmlns:a="http://schemas.openxmlformats.org/drawingml/2006/main" w="22225">
                <a:solidFill>
                  <a:srgbClr val="1E9E6A"/>
                </a:solidFill>
                <a:prstDash val="solid"/>
              </a:ln>
            </spPr>
          </marker>
          <cat>
            <numRef>
              <f>'English'!$B$44:$B$67</f>
            </numRef>
          </cat>
          <val>
            <numRef>
              <f>'English'!$D$44:$D$67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5DCEE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B6688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B6688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5DCEE"/>
              </a:solidFill>
              <a:prstDash val="solid"/>
            </a:ln>
          </spPr>
        </majorGridlines>
        <numFmt formatCode="#,##0 &quot;₺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B6688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B6688"/>
              </a:solidFill>
              <a:latin typeface="Arial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solidFill>
        <a:srgbClr val="D5DCEE"/>
      </a:solidFill>
      <a:prstDash val="solid"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0E1630"/>
                </a:solidFill>
                <a:latin typeface="Arial"/>
              </a:defRPr>
            </a:pPr>
            <a:r>
              <a:t>Best sellers (qty, top 10)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'English'!E70</f>
            </strRef>
          </tx>
          <spPr>
            <a:solidFill xmlns:a="http://schemas.openxmlformats.org/drawingml/2006/main">
              <a:srgbClr val="FFC93C"/>
            </a:solidFill>
            <a:ln xmlns:a="http://schemas.openxmlformats.org/drawingml/2006/main">
              <a:noFill/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0E1630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0E1630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'English'!$B$71:$B$80</f>
            </numRef>
          </cat>
          <val>
            <numRef>
              <f>'English'!$E$71:$E$80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5DCEE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B6688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B6688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5DCEE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B6688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B6688"/>
              </a:solidFill>
              <a:latin typeface="Arial"/>
            </a:endParaRPr>
          </a:p>
        </txPr>
        <crossAx val="10"/>
        <crosses val="max"/>
      </valAx>
    </plotArea>
    <plotVisOnly val="1"/>
    <dispBlanksAs val="gap"/>
  </chart>
  <spPr>
    <a:ln xmlns:a="http://schemas.openxmlformats.org/drawingml/2006/main">
      <a:solidFill>
        <a:srgbClr val="D5DCEE"/>
      </a:solidFill>
      <a:prstDash val="solid"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0E1630"/>
                </a:solidFill>
                <a:latin typeface="Arial"/>
              </a:defRPr>
            </a:pPr>
            <a:r>
              <a:t>Income by item (top 10)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'English'!F70</f>
            </strRef>
          </tx>
          <spPr>
            <a:solidFill xmlns:a="http://schemas.openxmlformats.org/drawingml/2006/main">
              <a:srgbClr val="1E9E6A"/>
            </a:solidFill>
            <a:ln xmlns:a="http://schemas.openxmlformats.org/drawingml/2006/main">
              <a:noFill/>
              <a:prstDash val="solid"/>
            </a:ln>
          </spPr>
          <dLbls>
            <numFmt formatCode="#,##0 &quot;₺&quot;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0E1630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0E1630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'English'!$B$71:$B$80</f>
            </numRef>
          </cat>
          <val>
            <numRef>
              <f>'English'!$F$71:$F$80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5DCEE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B6688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B6688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5DCEE"/>
              </a:solidFill>
              <a:prstDash val="solid"/>
            </a:ln>
          </spPr>
        </majorGridlines>
        <numFmt formatCode="#,##0 &quot;₺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B6688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B6688"/>
              </a:solidFill>
              <a:latin typeface="Arial"/>
            </a:endParaRPr>
          </a:p>
        </txPr>
        <crossAx val="10"/>
        <crosses val="max"/>
      </valAx>
    </plotArea>
    <plotVisOnly val="1"/>
    <dispBlanksAs val="gap"/>
  </chart>
  <spPr>
    <a:ln xmlns:a="http://schemas.openxmlformats.org/drawingml/2006/main">
      <a:solidFill>
        <a:srgbClr val="D5DCEE"/>
      </a:solidFill>
      <a:prstDash val="solid"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0E1630"/>
                </a:solidFill>
                <a:latin typeface="Arial"/>
              </a:defRPr>
            </a:pPr>
            <a:r>
              <a:t>الطلبات حسب الساعة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'العربية'!C43</f>
            </strRef>
          </tx>
          <spPr>
            <a:solidFill xmlns:a="http://schemas.openxmlformats.org/drawingml/2006/main">
              <a:srgbClr val="0B3D91"/>
            </a:solidFill>
            <a:ln xmlns:a="http://schemas.openxmlformats.org/drawingml/2006/main">
              <a:noFill/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0E1630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0E1630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'العربية'!$B$44:$B$67</f>
            </numRef>
          </cat>
          <val>
            <numRef>
              <f>'العربية'!$C$44:$C$67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5DCEE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B6688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B6688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5DCEE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B6688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B6688"/>
              </a:solidFill>
              <a:latin typeface="Arial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solidFill>
        <a:srgbClr val="D5DCEE"/>
      </a:solidFill>
      <a:prstDash val="solid"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0E1630"/>
                </a:solidFill>
                <a:latin typeface="Arial"/>
              </a:defRPr>
            </a:pPr>
            <a:r>
              <a:t>الدخل حسب الساعة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'العربية'!D43</f>
            </strRef>
          </tx>
          <spPr>
            <a:ln xmlns:a="http://schemas.openxmlformats.org/drawingml/2006/main" w="34925">
              <a:solidFill>
                <a:srgbClr val="1E9E6A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FFFFFF"/>
              </a:solidFill>
              <a:ln xmlns:a="http://schemas.openxmlformats.org/drawingml/2006/main" w="22225">
                <a:solidFill>
                  <a:srgbClr val="1E9E6A"/>
                </a:solidFill>
                <a:prstDash val="solid"/>
              </a:ln>
            </spPr>
          </marker>
          <cat>
            <numRef>
              <f>'العربية'!$B$44:$B$67</f>
            </numRef>
          </cat>
          <val>
            <numRef>
              <f>'العربية'!$D$44:$D$67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5DCEE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B6688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B6688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5DCEE"/>
              </a:solidFill>
              <a:prstDash val="solid"/>
            </a:ln>
          </spPr>
        </majorGridlines>
        <numFmt formatCode="#,##0 &quot;₺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B6688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B6688"/>
              </a:solidFill>
              <a:latin typeface="Arial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solidFill>
        <a:srgbClr val="D5DCEE"/>
      </a:solidFill>
      <a:prstDash val="solid"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0E1630"/>
                </a:solidFill>
                <a:latin typeface="Arial"/>
              </a:defRPr>
            </a:pPr>
            <a:r>
              <a:t>الأكثر مبيعًا (الكمية، أفضل 10)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'العربية'!E70</f>
            </strRef>
          </tx>
          <spPr>
            <a:solidFill xmlns:a="http://schemas.openxmlformats.org/drawingml/2006/main">
              <a:srgbClr val="FFC93C"/>
            </a:solidFill>
            <a:ln xmlns:a="http://schemas.openxmlformats.org/drawingml/2006/main">
              <a:noFill/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0E1630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0E1630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'العربية'!$B$71:$B$80</f>
            </numRef>
          </cat>
          <val>
            <numRef>
              <f>'العربية'!$E$71:$E$80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5DCEE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B6688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B6688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5DCEE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B6688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B6688"/>
              </a:solidFill>
              <a:latin typeface="Arial"/>
            </a:endParaRPr>
          </a:p>
        </txPr>
        <crossAx val="10"/>
        <crosses val="max"/>
      </valAx>
    </plotArea>
    <plotVisOnly val="1"/>
    <dispBlanksAs val="gap"/>
  </chart>
  <spPr>
    <a:ln xmlns:a="http://schemas.openxmlformats.org/drawingml/2006/main">
      <a:solidFill>
        <a:srgbClr val="D5DCEE"/>
      </a:solidFill>
      <a:prstDash val="solid"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0E1630"/>
                </a:solidFill>
                <a:latin typeface="Arial"/>
              </a:defRPr>
            </a:pPr>
            <a:r>
              <a:t>الدخل حسب المنتج (أفضل 10)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'العربية'!F70</f>
            </strRef>
          </tx>
          <spPr>
            <a:solidFill xmlns:a="http://schemas.openxmlformats.org/drawingml/2006/main">
              <a:srgbClr val="1E9E6A"/>
            </a:solidFill>
            <a:ln xmlns:a="http://schemas.openxmlformats.org/drawingml/2006/main">
              <a:noFill/>
              <a:prstDash val="solid"/>
            </a:ln>
          </spPr>
          <dLbls>
            <numFmt formatCode="#,##0 &quot;₺&quot;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0E1630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0E1630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'العربية'!$B$71:$B$80</f>
            </numRef>
          </cat>
          <val>
            <numRef>
              <f>'العربية'!$F$71:$F$80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5DCEE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B6688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B6688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5DCEE"/>
              </a:solidFill>
              <a:prstDash val="solid"/>
            </a:ln>
          </spPr>
        </majorGridlines>
        <numFmt formatCode="#,##0 &quot;₺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B6688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B6688"/>
              </a:solidFill>
              <a:latin typeface="Arial"/>
            </a:endParaRPr>
          </a:p>
        </txPr>
        <crossAx val="10"/>
        <crosses val="max"/>
      </valAx>
    </plotArea>
    <plotVisOnly val="1"/>
    <dispBlanksAs val="gap"/>
  </chart>
  <spPr>
    <a:ln xmlns:a="http://schemas.openxmlformats.org/drawingml/2006/main">
      <a:solidFill>
        <a:srgbClr val="D5DCEE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Relationship Type="http://schemas.openxmlformats.org/officeDocument/2006/relationships/chart" Target="/xl/charts/chart11.xml" Id="rId3"/><Relationship Type="http://schemas.openxmlformats.org/officeDocument/2006/relationships/chart" Target="/xl/charts/chart12.xml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7</row>
      <rowOff>0</rowOff>
    </from>
    <to>
      <col>7</col>
      <colOff>0</colOff>
      <row>23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0</colOff>
      <row>7</row>
      <rowOff>0</rowOff>
    </from>
    <to>
      <col>13</col>
      <colOff>0</colOff>
      <row>23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0</colOff>
      <row>24</row>
      <rowOff>0</rowOff>
    </from>
    <to>
      <col>7</col>
      <colOff>0</colOff>
      <row>40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7</col>
      <colOff>0</colOff>
      <row>24</row>
      <rowOff>0</rowOff>
    </from>
    <to>
      <col>13</col>
      <colOff>0</colOff>
      <row>40</row>
      <rowOff>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</col>
      <colOff>0</colOff>
      <row>7</row>
      <rowOff>0</rowOff>
    </from>
    <to>
      <col>7</col>
      <colOff>0</colOff>
      <row>23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0</colOff>
      <row>7</row>
      <rowOff>0</rowOff>
    </from>
    <to>
      <col>13</col>
      <colOff>0</colOff>
      <row>23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0</colOff>
      <row>24</row>
      <rowOff>0</rowOff>
    </from>
    <to>
      <col>7</col>
      <colOff>0</colOff>
      <row>40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7</col>
      <colOff>0</colOff>
      <row>24</row>
      <rowOff>0</rowOff>
    </from>
    <to>
      <col>13</col>
      <colOff>0</colOff>
      <row>40</row>
      <rowOff>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1</col>
      <colOff>0</colOff>
      <row>7</row>
      <rowOff>0</rowOff>
    </from>
    <to>
      <col>7</col>
      <colOff>0</colOff>
      <row>23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0</colOff>
      <row>7</row>
      <rowOff>0</rowOff>
    </from>
    <to>
      <col>13</col>
      <colOff>0</colOff>
      <row>23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0</colOff>
      <row>24</row>
      <rowOff>0</rowOff>
    </from>
    <to>
      <col>7</col>
      <colOff>0</colOff>
      <row>40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7</col>
      <colOff>0</colOff>
      <row>24</row>
      <rowOff>0</rowOff>
    </from>
    <to>
      <col>13</col>
      <colOff>0</colOff>
      <row>40</row>
      <rowOff>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M110"/>
  <sheetViews>
    <sheetView showGridLines="0" rightToLeft="0" zoomScale="10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40" customHeight="1">
      <c r="B1" s="1" t="inlineStr">
        <is>
          <t>IGU Café · Satış raporu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B2" s="3" t="inlineStr">
        <is>
          <t>Dönem</t>
        </is>
      </c>
      <c r="C2" s="4" t="n"/>
      <c r="H2" s="5" t="inlineStr">
        <is>
          <t>Oluşturuldu</t>
        </is>
      </c>
      <c r="J2" s="6" t="n"/>
    </row>
    <row r="3" ht="8" customHeight="1"/>
    <row r="4" ht="22" customHeight="1">
      <c r="B4" s="7" t="inlineStr">
        <is>
          <t>Toplam gelir</t>
        </is>
      </c>
      <c r="C4" s="8" t="n"/>
      <c r="D4" s="8" t="n"/>
      <c r="E4" s="9" t="inlineStr">
        <is>
          <t>Sipariş</t>
        </is>
      </c>
      <c r="F4" s="10" t="n"/>
      <c r="G4" s="10" t="n"/>
      <c r="H4" s="11" t="inlineStr">
        <is>
          <t>Ortalama sipariş</t>
        </is>
      </c>
      <c r="I4" s="12" t="n"/>
      <c r="J4" s="12" t="n"/>
      <c r="K4" s="13" t="inlineStr">
        <is>
          <t>İptal edilen</t>
        </is>
      </c>
      <c r="L4" s="14" t="n"/>
      <c r="M4" s="14" t="n"/>
    </row>
    <row r="5" ht="38" customHeight="1">
      <c r="B5" s="15">
        <f>SUM(D44:D67)</f>
        <v/>
      </c>
      <c r="C5" s="16" t="n"/>
      <c r="D5" s="16" t="n"/>
      <c r="E5" s="17">
        <f>SUM(C44:C67)</f>
        <v/>
      </c>
      <c r="F5" s="16" t="n"/>
      <c r="G5" s="16" t="n"/>
      <c r="H5" s="18">
        <f>IFERROR(B5/E5,0)</f>
        <v/>
      </c>
      <c r="I5" s="16" t="n"/>
      <c r="J5" s="16" t="n"/>
      <c r="K5" s="19" t="n">
        <v>0</v>
      </c>
      <c r="L5" s="16" t="n"/>
      <c r="M5" s="16" t="n"/>
    </row>
    <row r="7" ht="22" customHeight="1">
      <c r="B7" s="20" t="inlineStr">
        <is>
          <t>Grafikler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</row>
    <row r="42" ht="22" customHeight="1">
      <c r="B42" s="20" t="inlineStr">
        <is>
          <t>Saatlik satışlar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</row>
    <row r="43" ht="20" customHeight="1">
      <c r="B43" s="22" t="inlineStr">
        <is>
          <t>Saat</t>
        </is>
      </c>
      <c r="C43" s="23" t="inlineStr">
        <is>
          <t>Sipariş</t>
        </is>
      </c>
      <c r="D43" s="23" t="inlineStr">
        <is>
          <t>Gelir</t>
        </is>
      </c>
      <c r="E43" s="23" t="inlineStr">
        <is>
          <t>Ort. sipariş</t>
        </is>
      </c>
      <c r="F43" s="23" t="inlineStr">
        <is>
          <t>Pay %</t>
        </is>
      </c>
    </row>
    <row r="44" ht="18" customHeight="1">
      <c r="B44" s="24" t="n"/>
      <c r="C44" s="25" t="n"/>
      <c r="D44" s="26" t="n"/>
      <c r="E44" s="27">
        <f>IFERROR(D44/C44,0)</f>
        <v/>
      </c>
      <c r="F44" s="28">
        <f>IFERROR(D44/$B$5,0)</f>
        <v/>
      </c>
    </row>
    <row r="45" ht="18" customHeight="1">
      <c r="B45" s="29" t="n"/>
      <c r="C45" s="30" t="n"/>
      <c r="D45" s="31" t="n"/>
      <c r="E45" s="32">
        <f>IFERROR(D45/C45,0)</f>
        <v/>
      </c>
      <c r="F45" s="33">
        <f>IFERROR(D45/$B$5,0)</f>
        <v/>
      </c>
    </row>
    <row r="46" ht="18" customHeight="1">
      <c r="B46" s="24" t="n"/>
      <c r="C46" s="25" t="n"/>
      <c r="D46" s="26" t="n"/>
      <c r="E46" s="27">
        <f>IFERROR(D46/C46,0)</f>
        <v/>
      </c>
      <c r="F46" s="28">
        <f>IFERROR(D46/$B$5,0)</f>
        <v/>
      </c>
    </row>
    <row r="47" ht="18" customHeight="1">
      <c r="B47" s="29" t="n"/>
      <c r="C47" s="30" t="n"/>
      <c r="D47" s="31" t="n"/>
      <c r="E47" s="32">
        <f>IFERROR(D47/C47,0)</f>
        <v/>
      </c>
      <c r="F47" s="33">
        <f>IFERROR(D47/$B$5,0)</f>
        <v/>
      </c>
    </row>
    <row r="48" ht="18" customHeight="1">
      <c r="B48" s="24" t="n"/>
      <c r="C48" s="25" t="n"/>
      <c r="D48" s="26" t="n"/>
      <c r="E48" s="27">
        <f>IFERROR(D48/C48,0)</f>
        <v/>
      </c>
      <c r="F48" s="28">
        <f>IFERROR(D48/$B$5,0)</f>
        <v/>
      </c>
    </row>
    <row r="49" ht="18" customHeight="1">
      <c r="B49" s="29" t="n"/>
      <c r="C49" s="30" t="n"/>
      <c r="D49" s="31" t="n"/>
      <c r="E49" s="32">
        <f>IFERROR(D49/C49,0)</f>
        <v/>
      </c>
      <c r="F49" s="33">
        <f>IFERROR(D49/$B$5,0)</f>
        <v/>
      </c>
    </row>
    <row r="50" ht="18" customHeight="1">
      <c r="B50" s="24" t="n"/>
      <c r="C50" s="25" t="n"/>
      <c r="D50" s="26" t="n"/>
      <c r="E50" s="27">
        <f>IFERROR(D50/C50,0)</f>
        <v/>
      </c>
      <c r="F50" s="28">
        <f>IFERROR(D50/$B$5,0)</f>
        <v/>
      </c>
    </row>
    <row r="51" ht="18" customHeight="1">
      <c r="B51" s="29" t="n"/>
      <c r="C51" s="30" t="n"/>
      <c r="D51" s="31" t="n"/>
      <c r="E51" s="32">
        <f>IFERROR(D51/C51,0)</f>
        <v/>
      </c>
      <c r="F51" s="33">
        <f>IFERROR(D51/$B$5,0)</f>
        <v/>
      </c>
    </row>
    <row r="52" ht="18" customHeight="1">
      <c r="B52" s="24" t="n"/>
      <c r="C52" s="25" t="n"/>
      <c r="D52" s="26" t="n"/>
      <c r="E52" s="27">
        <f>IFERROR(D52/C52,0)</f>
        <v/>
      </c>
      <c r="F52" s="28">
        <f>IFERROR(D52/$B$5,0)</f>
        <v/>
      </c>
    </row>
    <row r="53" ht="18" customHeight="1">
      <c r="B53" s="29" t="n"/>
      <c r="C53" s="30" t="n"/>
      <c r="D53" s="31" t="n"/>
      <c r="E53" s="32">
        <f>IFERROR(D53/C53,0)</f>
        <v/>
      </c>
      <c r="F53" s="33">
        <f>IFERROR(D53/$B$5,0)</f>
        <v/>
      </c>
    </row>
    <row r="54" ht="18" customHeight="1">
      <c r="B54" s="24" t="n"/>
      <c r="C54" s="25" t="n"/>
      <c r="D54" s="26" t="n"/>
      <c r="E54" s="27">
        <f>IFERROR(D54/C54,0)</f>
        <v/>
      </c>
      <c r="F54" s="28">
        <f>IFERROR(D54/$B$5,0)</f>
        <v/>
      </c>
    </row>
    <row r="55" ht="18" customHeight="1">
      <c r="B55" s="29" t="n"/>
      <c r="C55" s="30" t="n"/>
      <c r="D55" s="31" t="n"/>
      <c r="E55" s="32">
        <f>IFERROR(D55/C55,0)</f>
        <v/>
      </c>
      <c r="F55" s="33">
        <f>IFERROR(D55/$B$5,0)</f>
        <v/>
      </c>
    </row>
    <row r="56" ht="18" customHeight="1">
      <c r="B56" s="24" t="n"/>
      <c r="C56" s="25" t="n"/>
      <c r="D56" s="26" t="n"/>
      <c r="E56" s="27">
        <f>IFERROR(D56/C56,0)</f>
        <v/>
      </c>
      <c r="F56" s="28">
        <f>IFERROR(D56/$B$5,0)</f>
        <v/>
      </c>
    </row>
    <row r="57" ht="18" customHeight="1">
      <c r="B57" s="29" t="n"/>
      <c r="C57" s="30" t="n"/>
      <c r="D57" s="31" t="n"/>
      <c r="E57" s="32">
        <f>IFERROR(D57/C57,0)</f>
        <v/>
      </c>
      <c r="F57" s="33">
        <f>IFERROR(D57/$B$5,0)</f>
        <v/>
      </c>
    </row>
    <row r="58" ht="18" customHeight="1">
      <c r="B58" s="24" t="n"/>
      <c r="C58" s="25" t="n"/>
      <c r="D58" s="26" t="n"/>
      <c r="E58" s="27">
        <f>IFERROR(D58/C58,0)</f>
        <v/>
      </c>
      <c r="F58" s="28">
        <f>IFERROR(D58/$B$5,0)</f>
        <v/>
      </c>
    </row>
    <row r="59" ht="18" customHeight="1">
      <c r="B59" s="29" t="n"/>
      <c r="C59" s="30" t="n"/>
      <c r="D59" s="31" t="n"/>
      <c r="E59" s="32">
        <f>IFERROR(D59/C59,0)</f>
        <v/>
      </c>
      <c r="F59" s="33">
        <f>IFERROR(D59/$B$5,0)</f>
        <v/>
      </c>
    </row>
    <row r="60" ht="18" customHeight="1">
      <c r="B60" s="24" t="n"/>
      <c r="C60" s="25" t="n"/>
      <c r="D60" s="26" t="n"/>
      <c r="E60" s="27">
        <f>IFERROR(D60/C60,0)</f>
        <v/>
      </c>
      <c r="F60" s="28">
        <f>IFERROR(D60/$B$5,0)</f>
        <v/>
      </c>
    </row>
    <row r="61" ht="18" customHeight="1">
      <c r="B61" s="29" t="n"/>
      <c r="C61" s="30" t="n"/>
      <c r="D61" s="31" t="n"/>
      <c r="E61" s="32">
        <f>IFERROR(D61/C61,0)</f>
        <v/>
      </c>
      <c r="F61" s="33">
        <f>IFERROR(D61/$B$5,0)</f>
        <v/>
      </c>
    </row>
    <row r="62" ht="18" customHeight="1">
      <c r="B62" s="24" t="n"/>
      <c r="C62" s="25" t="n"/>
      <c r="D62" s="26" t="n"/>
      <c r="E62" s="27">
        <f>IFERROR(D62/C62,0)</f>
        <v/>
      </c>
      <c r="F62" s="28">
        <f>IFERROR(D62/$B$5,0)</f>
        <v/>
      </c>
    </row>
    <row r="63" ht="18" customHeight="1">
      <c r="B63" s="29" t="n"/>
      <c r="C63" s="30" t="n"/>
      <c r="D63" s="31" t="n"/>
      <c r="E63" s="32">
        <f>IFERROR(D63/C63,0)</f>
        <v/>
      </c>
      <c r="F63" s="33">
        <f>IFERROR(D63/$B$5,0)</f>
        <v/>
      </c>
    </row>
    <row r="64" ht="18" customHeight="1">
      <c r="B64" s="24" t="n"/>
      <c r="C64" s="25" t="n"/>
      <c r="D64" s="26" t="n"/>
      <c r="E64" s="27">
        <f>IFERROR(D64/C64,0)</f>
        <v/>
      </c>
      <c r="F64" s="28">
        <f>IFERROR(D64/$B$5,0)</f>
        <v/>
      </c>
    </row>
    <row r="65" ht="18" customHeight="1">
      <c r="B65" s="29" t="n"/>
      <c r="C65" s="30" t="n"/>
      <c r="D65" s="31" t="n"/>
      <c r="E65" s="32">
        <f>IFERROR(D65/C65,0)</f>
        <v/>
      </c>
      <c r="F65" s="33">
        <f>IFERROR(D65/$B$5,0)</f>
        <v/>
      </c>
    </row>
    <row r="66" ht="18" customHeight="1">
      <c r="B66" s="24" t="n"/>
      <c r="C66" s="25" t="n"/>
      <c r="D66" s="26" t="n"/>
      <c r="E66" s="27">
        <f>IFERROR(D66/C66,0)</f>
        <v/>
      </c>
      <c r="F66" s="28">
        <f>IFERROR(D66/$B$5,0)</f>
        <v/>
      </c>
    </row>
    <row r="67" ht="18" customHeight="1">
      <c r="B67" s="29" t="n"/>
      <c r="C67" s="30" t="n"/>
      <c r="D67" s="31" t="n"/>
      <c r="E67" s="32">
        <f>IFERROR(D67/C67,0)</f>
        <v/>
      </c>
      <c r="F67" s="33">
        <f>IFERROR(D67/$B$5,0)</f>
        <v/>
      </c>
    </row>
    <row r="69" ht="22" customHeight="1">
      <c r="B69" s="20" t="inlineStr">
        <is>
          <t>Satılan ürünler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</row>
    <row r="70" ht="20" customHeight="1">
      <c r="B70" s="22" t="inlineStr">
        <is>
          <t>Ürün</t>
        </is>
      </c>
      <c r="C70" s="34" t="n"/>
      <c r="D70" s="34" t="n"/>
      <c r="E70" s="23" t="inlineStr">
        <is>
          <t>Adet</t>
        </is>
      </c>
      <c r="F70" s="23" t="inlineStr">
        <is>
          <t>Gelir</t>
        </is>
      </c>
      <c r="G70" s="23" t="inlineStr">
        <is>
          <t>Pay %</t>
        </is>
      </c>
    </row>
    <row r="71" ht="18" customHeight="1">
      <c r="B71" s="24" t="n"/>
      <c r="C71" s="35" t="n"/>
      <c r="D71" s="35" t="n"/>
      <c r="E71" s="25" t="n"/>
      <c r="F71" s="26" t="n"/>
      <c r="G71" s="28">
        <f>IFERROR(F71/$B$5,0)</f>
        <v/>
      </c>
    </row>
    <row r="72" ht="18" customHeight="1">
      <c r="B72" s="29" t="n"/>
      <c r="C72" s="36" t="n"/>
      <c r="D72" s="36" t="n"/>
      <c r="E72" s="30" t="n"/>
      <c r="F72" s="31" t="n"/>
      <c r="G72" s="33">
        <f>IFERROR(F72/$B$5,0)</f>
        <v/>
      </c>
    </row>
    <row r="73" ht="18" customHeight="1">
      <c r="B73" s="24" t="n"/>
      <c r="C73" s="35" t="n"/>
      <c r="D73" s="35" t="n"/>
      <c r="E73" s="25" t="n"/>
      <c r="F73" s="26" t="n"/>
      <c r="G73" s="28">
        <f>IFERROR(F73/$B$5,0)</f>
        <v/>
      </c>
    </row>
    <row r="74" ht="18" customHeight="1">
      <c r="B74" s="29" t="n"/>
      <c r="C74" s="36" t="n"/>
      <c r="D74" s="36" t="n"/>
      <c r="E74" s="30" t="n"/>
      <c r="F74" s="31" t="n"/>
      <c r="G74" s="33">
        <f>IFERROR(F74/$B$5,0)</f>
        <v/>
      </c>
    </row>
    <row r="75" ht="18" customHeight="1">
      <c r="B75" s="24" t="n"/>
      <c r="C75" s="35" t="n"/>
      <c r="D75" s="35" t="n"/>
      <c r="E75" s="25" t="n"/>
      <c r="F75" s="26" t="n"/>
      <c r="G75" s="28">
        <f>IFERROR(F75/$B$5,0)</f>
        <v/>
      </c>
    </row>
    <row r="76" ht="18" customHeight="1">
      <c r="B76" s="29" t="n"/>
      <c r="C76" s="36" t="n"/>
      <c r="D76" s="36" t="n"/>
      <c r="E76" s="30" t="n"/>
      <c r="F76" s="31" t="n"/>
      <c r="G76" s="33">
        <f>IFERROR(F76/$B$5,0)</f>
        <v/>
      </c>
    </row>
    <row r="77" ht="18" customHeight="1">
      <c r="B77" s="24" t="n"/>
      <c r="C77" s="35" t="n"/>
      <c r="D77" s="35" t="n"/>
      <c r="E77" s="25" t="n"/>
      <c r="F77" s="26" t="n"/>
      <c r="G77" s="28">
        <f>IFERROR(F77/$B$5,0)</f>
        <v/>
      </c>
    </row>
    <row r="78" ht="18" customHeight="1">
      <c r="B78" s="29" t="n"/>
      <c r="C78" s="36" t="n"/>
      <c r="D78" s="36" t="n"/>
      <c r="E78" s="30" t="n"/>
      <c r="F78" s="31" t="n"/>
      <c r="G78" s="33">
        <f>IFERROR(F78/$B$5,0)</f>
        <v/>
      </c>
    </row>
    <row r="79" ht="18" customHeight="1">
      <c r="B79" s="24" t="n"/>
      <c r="C79" s="35" t="n"/>
      <c r="D79" s="35" t="n"/>
      <c r="E79" s="25" t="n"/>
      <c r="F79" s="26" t="n"/>
      <c r="G79" s="28">
        <f>IFERROR(F79/$B$5,0)</f>
        <v/>
      </c>
    </row>
    <row r="80" ht="18" customHeight="1">
      <c r="B80" s="29" t="n"/>
      <c r="C80" s="36" t="n"/>
      <c r="D80" s="36" t="n"/>
      <c r="E80" s="30" t="n"/>
      <c r="F80" s="31" t="n"/>
      <c r="G80" s="33">
        <f>IFERROR(F80/$B$5,0)</f>
        <v/>
      </c>
    </row>
    <row r="81" ht="18" customHeight="1">
      <c r="B81" s="24" t="n"/>
      <c r="C81" s="35" t="n"/>
      <c r="D81" s="35" t="n"/>
      <c r="E81" s="25" t="n"/>
      <c r="F81" s="26" t="n"/>
      <c r="G81" s="28">
        <f>IFERROR(F81/$B$5,0)</f>
        <v/>
      </c>
    </row>
    <row r="82" ht="18" customHeight="1">
      <c r="B82" s="29" t="n"/>
      <c r="C82" s="36" t="n"/>
      <c r="D82" s="36" t="n"/>
      <c r="E82" s="30" t="n"/>
      <c r="F82" s="31" t="n"/>
      <c r="G82" s="33">
        <f>IFERROR(F82/$B$5,0)</f>
        <v/>
      </c>
    </row>
    <row r="83" ht="18" customHeight="1">
      <c r="B83" s="24" t="n"/>
      <c r="C83" s="35" t="n"/>
      <c r="D83" s="35" t="n"/>
      <c r="E83" s="25" t="n"/>
      <c r="F83" s="26" t="n"/>
      <c r="G83" s="28">
        <f>IFERROR(F83/$B$5,0)</f>
        <v/>
      </c>
    </row>
    <row r="84" ht="18" customHeight="1">
      <c r="B84" s="29" t="n"/>
      <c r="C84" s="36" t="n"/>
      <c r="D84" s="36" t="n"/>
      <c r="E84" s="30" t="n"/>
      <c r="F84" s="31" t="n"/>
      <c r="G84" s="33">
        <f>IFERROR(F84/$B$5,0)</f>
        <v/>
      </c>
    </row>
    <row r="85" ht="18" customHeight="1">
      <c r="B85" s="24" t="n"/>
      <c r="C85" s="35" t="n"/>
      <c r="D85" s="35" t="n"/>
      <c r="E85" s="25" t="n"/>
      <c r="F85" s="26" t="n"/>
      <c r="G85" s="28">
        <f>IFERROR(F85/$B$5,0)</f>
        <v/>
      </c>
    </row>
    <row r="86" ht="18" customHeight="1">
      <c r="B86" s="29" t="n"/>
      <c r="C86" s="36" t="n"/>
      <c r="D86" s="36" t="n"/>
      <c r="E86" s="30" t="n"/>
      <c r="F86" s="31" t="n"/>
      <c r="G86" s="33">
        <f>IFERROR(F86/$B$5,0)</f>
        <v/>
      </c>
    </row>
    <row r="87" ht="18" customHeight="1">
      <c r="B87" s="24" t="n"/>
      <c r="C87" s="35" t="n"/>
      <c r="D87" s="35" t="n"/>
      <c r="E87" s="25" t="n"/>
      <c r="F87" s="26" t="n"/>
      <c r="G87" s="28">
        <f>IFERROR(F87/$B$5,0)</f>
        <v/>
      </c>
    </row>
    <row r="88" ht="18" customHeight="1">
      <c r="B88" s="29" t="n"/>
      <c r="C88" s="36" t="n"/>
      <c r="D88" s="36" t="n"/>
      <c r="E88" s="30" t="n"/>
      <c r="F88" s="31" t="n"/>
      <c r="G88" s="33">
        <f>IFERROR(F88/$B$5,0)</f>
        <v/>
      </c>
    </row>
    <row r="89" ht="18" customHeight="1">
      <c r="B89" s="24" t="n"/>
      <c r="C89" s="35" t="n"/>
      <c r="D89" s="35" t="n"/>
      <c r="E89" s="25" t="n"/>
      <c r="F89" s="26" t="n"/>
      <c r="G89" s="28">
        <f>IFERROR(F89/$B$5,0)</f>
        <v/>
      </c>
    </row>
    <row r="90" ht="18" customHeight="1">
      <c r="B90" s="29" t="n"/>
      <c r="C90" s="36" t="n"/>
      <c r="D90" s="36" t="n"/>
      <c r="E90" s="30" t="n"/>
      <c r="F90" s="31" t="n"/>
      <c r="G90" s="33">
        <f>IFERROR(F90/$B$5,0)</f>
        <v/>
      </c>
    </row>
    <row r="91" ht="18" customHeight="1">
      <c r="B91" s="24" t="n"/>
      <c r="C91" s="35" t="n"/>
      <c r="D91" s="35" t="n"/>
      <c r="E91" s="25" t="n"/>
      <c r="F91" s="26" t="n"/>
      <c r="G91" s="28">
        <f>IFERROR(F91/$B$5,0)</f>
        <v/>
      </c>
    </row>
    <row r="92" ht="18" customHeight="1">
      <c r="B92" s="29" t="n"/>
      <c r="C92" s="36" t="n"/>
      <c r="D92" s="36" t="n"/>
      <c r="E92" s="30" t="n"/>
      <c r="F92" s="31" t="n"/>
      <c r="G92" s="33">
        <f>IFERROR(F92/$B$5,0)</f>
        <v/>
      </c>
    </row>
    <row r="93" ht="18" customHeight="1">
      <c r="B93" s="24" t="n"/>
      <c r="C93" s="35" t="n"/>
      <c r="D93" s="35" t="n"/>
      <c r="E93" s="25" t="n"/>
      <c r="F93" s="26" t="n"/>
      <c r="G93" s="28">
        <f>IFERROR(F93/$B$5,0)</f>
        <v/>
      </c>
    </row>
    <row r="94" ht="18" customHeight="1">
      <c r="B94" s="29" t="n"/>
      <c r="C94" s="36" t="n"/>
      <c r="D94" s="36" t="n"/>
      <c r="E94" s="30" t="n"/>
      <c r="F94" s="31" t="n"/>
      <c r="G94" s="33">
        <f>IFERROR(F94/$B$5,0)</f>
        <v/>
      </c>
    </row>
    <row r="95" ht="18" customHeight="1">
      <c r="B95" s="24" t="n"/>
      <c r="C95" s="35" t="n"/>
      <c r="D95" s="35" t="n"/>
      <c r="E95" s="25" t="n"/>
      <c r="F95" s="26" t="n"/>
      <c r="G95" s="28">
        <f>IFERROR(F95/$B$5,0)</f>
        <v/>
      </c>
    </row>
    <row r="96" ht="18" customHeight="1">
      <c r="B96" s="29" t="n"/>
      <c r="C96" s="36" t="n"/>
      <c r="D96" s="36" t="n"/>
      <c r="E96" s="30" t="n"/>
      <c r="F96" s="31" t="n"/>
      <c r="G96" s="33">
        <f>IFERROR(F96/$B$5,0)</f>
        <v/>
      </c>
    </row>
    <row r="97" ht="18" customHeight="1">
      <c r="B97" s="24" t="n"/>
      <c r="C97" s="35" t="n"/>
      <c r="D97" s="35" t="n"/>
      <c r="E97" s="25" t="n"/>
      <c r="F97" s="26" t="n"/>
      <c r="G97" s="28">
        <f>IFERROR(F97/$B$5,0)</f>
        <v/>
      </c>
    </row>
    <row r="98" ht="18" customHeight="1">
      <c r="B98" s="29" t="n"/>
      <c r="C98" s="36" t="n"/>
      <c r="D98" s="36" t="n"/>
      <c r="E98" s="30" t="n"/>
      <c r="F98" s="31" t="n"/>
      <c r="G98" s="33">
        <f>IFERROR(F98/$B$5,0)</f>
        <v/>
      </c>
    </row>
    <row r="99" ht="18" customHeight="1">
      <c r="B99" s="24" t="n"/>
      <c r="C99" s="35" t="n"/>
      <c r="D99" s="35" t="n"/>
      <c r="E99" s="25" t="n"/>
      <c r="F99" s="26" t="n"/>
      <c r="G99" s="28">
        <f>IFERROR(F99/$B$5,0)</f>
        <v/>
      </c>
    </row>
    <row r="100" ht="18" customHeight="1">
      <c r="B100" s="29" t="n"/>
      <c r="C100" s="36" t="n"/>
      <c r="D100" s="36" t="n"/>
      <c r="E100" s="30" t="n"/>
      <c r="F100" s="31" t="n"/>
      <c r="G100" s="33">
        <f>IFERROR(F100/$B$5,0)</f>
        <v/>
      </c>
    </row>
    <row r="101" ht="18" customHeight="1">
      <c r="B101" s="24" t="n"/>
      <c r="C101" s="35" t="n"/>
      <c r="D101" s="35" t="n"/>
      <c r="E101" s="25" t="n"/>
      <c r="F101" s="26" t="n"/>
      <c r="G101" s="28">
        <f>IFERROR(F101/$B$5,0)</f>
        <v/>
      </c>
    </row>
    <row r="102" ht="18" customHeight="1">
      <c r="B102" s="29" t="n"/>
      <c r="C102" s="36" t="n"/>
      <c r="D102" s="36" t="n"/>
      <c r="E102" s="30" t="n"/>
      <c r="F102" s="31" t="n"/>
      <c r="G102" s="33">
        <f>IFERROR(F102/$B$5,0)</f>
        <v/>
      </c>
    </row>
    <row r="103" ht="18" customHeight="1">
      <c r="B103" s="24" t="n"/>
      <c r="C103" s="35" t="n"/>
      <c r="D103" s="35" t="n"/>
      <c r="E103" s="25" t="n"/>
      <c r="F103" s="26" t="n"/>
      <c r="G103" s="28">
        <f>IFERROR(F103/$B$5,0)</f>
        <v/>
      </c>
    </row>
    <row r="104" ht="18" customHeight="1">
      <c r="B104" s="29" t="n"/>
      <c r="C104" s="36" t="n"/>
      <c r="D104" s="36" t="n"/>
      <c r="E104" s="30" t="n"/>
      <c r="F104" s="31" t="n"/>
      <c r="G104" s="33">
        <f>IFERROR(F104/$B$5,0)</f>
        <v/>
      </c>
    </row>
    <row r="105" ht="18" customHeight="1">
      <c r="B105" s="24" t="n"/>
      <c r="C105" s="35" t="n"/>
      <c r="D105" s="35" t="n"/>
      <c r="E105" s="25" t="n"/>
      <c r="F105" s="26" t="n"/>
      <c r="G105" s="28">
        <f>IFERROR(F105/$B$5,0)</f>
        <v/>
      </c>
    </row>
    <row r="106" ht="18" customHeight="1">
      <c r="B106" s="29" t="n"/>
      <c r="C106" s="36" t="n"/>
      <c r="D106" s="36" t="n"/>
      <c r="E106" s="30" t="n"/>
      <c r="F106" s="31" t="n"/>
      <c r="G106" s="33">
        <f>IFERROR(F106/$B$5,0)</f>
        <v/>
      </c>
    </row>
    <row r="107" ht="18" customHeight="1">
      <c r="B107" s="24" t="n"/>
      <c r="C107" s="35" t="n"/>
      <c r="D107" s="35" t="n"/>
      <c r="E107" s="25" t="n"/>
      <c r="F107" s="26" t="n"/>
      <c r="G107" s="28">
        <f>IFERROR(F107/$B$5,0)</f>
        <v/>
      </c>
    </row>
    <row r="108" ht="18" customHeight="1">
      <c r="B108" s="29" t="n"/>
      <c r="C108" s="36" t="n"/>
      <c r="D108" s="36" t="n"/>
      <c r="E108" s="30" t="n"/>
      <c r="F108" s="31" t="n"/>
      <c r="G108" s="33">
        <f>IFERROR(F108/$B$5,0)</f>
        <v/>
      </c>
    </row>
    <row r="109" ht="18" customHeight="1">
      <c r="B109" s="24" t="n"/>
      <c r="C109" s="35" t="n"/>
      <c r="D109" s="35" t="n"/>
      <c r="E109" s="25" t="n"/>
      <c r="F109" s="26" t="n"/>
      <c r="G109" s="28">
        <f>IFERROR(F109/$B$5,0)</f>
        <v/>
      </c>
    </row>
    <row r="110" ht="18" customHeight="1">
      <c r="B110" s="29" t="n"/>
      <c r="C110" s="36" t="n"/>
      <c r="D110" s="36" t="n"/>
      <c r="E110" s="30" t="n"/>
      <c r="F110" s="31" t="n"/>
      <c r="G110" s="33">
        <f>IFERROR(F110/$B$5,0)</f>
        <v/>
      </c>
    </row>
  </sheetData>
  <mergeCells count="53">
    <mergeCell ref="B98:D98"/>
    <mergeCell ref="B107:D107"/>
    <mergeCell ref="B101:D101"/>
    <mergeCell ref="B73:D73"/>
    <mergeCell ref="B88:D88"/>
    <mergeCell ref="B82:D82"/>
    <mergeCell ref="J2:M2"/>
    <mergeCell ref="B1:M1"/>
    <mergeCell ref="B78:D78"/>
    <mergeCell ref="B87:D87"/>
    <mergeCell ref="B103:D103"/>
    <mergeCell ref="B108:D108"/>
    <mergeCell ref="B99:D99"/>
    <mergeCell ref="B84:D84"/>
    <mergeCell ref="B74:D74"/>
    <mergeCell ref="B92:D92"/>
    <mergeCell ref="B83:D83"/>
    <mergeCell ref="B95:D95"/>
    <mergeCell ref="B89:D89"/>
    <mergeCell ref="B104:D104"/>
    <mergeCell ref="B5:D5"/>
    <mergeCell ref="H2:I2"/>
    <mergeCell ref="B76:D76"/>
    <mergeCell ref="B80:D80"/>
    <mergeCell ref="B94:D94"/>
    <mergeCell ref="B110:D110"/>
    <mergeCell ref="K4:M4"/>
    <mergeCell ref="C2:G2"/>
    <mergeCell ref="H5:J5"/>
    <mergeCell ref="B79:D79"/>
    <mergeCell ref="B4:D4"/>
    <mergeCell ref="B85:D85"/>
    <mergeCell ref="B97:D97"/>
    <mergeCell ref="B100:D100"/>
    <mergeCell ref="B75:D75"/>
    <mergeCell ref="B106:D106"/>
    <mergeCell ref="B91:D91"/>
    <mergeCell ref="B109:D109"/>
    <mergeCell ref="B81:D81"/>
    <mergeCell ref="B72:D72"/>
    <mergeCell ref="B90:D90"/>
    <mergeCell ref="E5:G5"/>
    <mergeCell ref="K5:M5"/>
    <mergeCell ref="B71:D71"/>
    <mergeCell ref="B93:D93"/>
    <mergeCell ref="B102:D102"/>
    <mergeCell ref="H4:J4"/>
    <mergeCell ref="B96:D96"/>
    <mergeCell ref="E4:G4"/>
    <mergeCell ref="B70:D70"/>
    <mergeCell ref="B105:D105"/>
    <mergeCell ref="B77:D77"/>
    <mergeCell ref="B86:D86"/>
  </mergeCells>
  <printOptions horizontalCentered="1"/>
  <pageMargins left="0.4" right="0.4" top="0.5" bottom="0.5" header="0.5" footer="0.5"/>
  <pageSetup orientation="portrait" paperSize="9" fitToHeight="0" fitToWidth="1"/>
  <rowBreaks count="1" manualBreakCount="1">
    <brk id="41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M110"/>
  <sheetViews>
    <sheetView showGridLines="0" rightToLeft="0" zoomScale="10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40" customHeight="1">
      <c r="B1" s="1" t="inlineStr">
        <is>
          <t>IGU Café · Sales report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B2" s="3" t="inlineStr">
        <is>
          <t>Period</t>
        </is>
      </c>
      <c r="C2" s="4" t="n"/>
      <c r="H2" s="5" t="inlineStr">
        <is>
          <t>Created</t>
        </is>
      </c>
      <c r="J2" s="6" t="n"/>
    </row>
    <row r="3" ht="8" customHeight="1"/>
    <row r="4" ht="22" customHeight="1">
      <c r="B4" s="7" t="inlineStr">
        <is>
          <t>Total income</t>
        </is>
      </c>
      <c r="C4" s="8" t="n"/>
      <c r="D4" s="8" t="n"/>
      <c r="E4" s="9" t="inlineStr">
        <is>
          <t>Orders</t>
        </is>
      </c>
      <c r="F4" s="10" t="n"/>
      <c r="G4" s="10" t="n"/>
      <c r="H4" s="11" t="inlineStr">
        <is>
          <t>Average order</t>
        </is>
      </c>
      <c r="I4" s="12" t="n"/>
      <c r="J4" s="12" t="n"/>
      <c r="K4" s="13" t="inlineStr">
        <is>
          <t>Cancelled</t>
        </is>
      </c>
      <c r="L4" s="14" t="n"/>
      <c r="M4" s="14" t="n"/>
    </row>
    <row r="5" ht="38" customHeight="1">
      <c r="B5" s="15">
        <f>SUM(D44:D67)</f>
        <v/>
      </c>
      <c r="C5" s="16" t="n"/>
      <c r="D5" s="16" t="n"/>
      <c r="E5" s="17">
        <f>SUM(C44:C67)</f>
        <v/>
      </c>
      <c r="F5" s="16" t="n"/>
      <c r="G5" s="16" t="n"/>
      <c r="H5" s="18">
        <f>IFERROR(B5/E5,0)</f>
        <v/>
      </c>
      <c r="I5" s="16" t="n"/>
      <c r="J5" s="16" t="n"/>
      <c r="K5" s="19" t="n">
        <v>0</v>
      </c>
      <c r="L5" s="16" t="n"/>
      <c r="M5" s="16" t="n"/>
    </row>
    <row r="7" ht="22" customHeight="1">
      <c r="B7" s="20" t="inlineStr">
        <is>
          <t>Charts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</row>
    <row r="42" ht="22" customHeight="1">
      <c r="B42" s="20" t="inlineStr">
        <is>
          <t>Sales by hour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</row>
    <row r="43" ht="20" customHeight="1">
      <c r="B43" s="22" t="inlineStr">
        <is>
          <t>Hour</t>
        </is>
      </c>
      <c r="C43" s="23" t="inlineStr">
        <is>
          <t>Orders</t>
        </is>
      </c>
      <c r="D43" s="23" t="inlineStr">
        <is>
          <t>Income</t>
        </is>
      </c>
      <c r="E43" s="23" t="inlineStr">
        <is>
          <t>Avg. order</t>
        </is>
      </c>
      <c r="F43" s="23" t="inlineStr">
        <is>
          <t>Share %</t>
        </is>
      </c>
    </row>
    <row r="44" ht="18" customHeight="1">
      <c r="B44" s="24" t="n"/>
      <c r="C44" s="25" t="n"/>
      <c r="D44" s="26" t="n"/>
      <c r="E44" s="27">
        <f>IFERROR(D44/C44,0)</f>
        <v/>
      </c>
      <c r="F44" s="28">
        <f>IFERROR(D44/$B$5,0)</f>
        <v/>
      </c>
    </row>
    <row r="45" ht="18" customHeight="1">
      <c r="B45" s="29" t="n"/>
      <c r="C45" s="30" t="n"/>
      <c r="D45" s="31" t="n"/>
      <c r="E45" s="32">
        <f>IFERROR(D45/C45,0)</f>
        <v/>
      </c>
      <c r="F45" s="33">
        <f>IFERROR(D45/$B$5,0)</f>
        <v/>
      </c>
    </row>
    <row r="46" ht="18" customHeight="1">
      <c r="B46" s="24" t="n"/>
      <c r="C46" s="25" t="n"/>
      <c r="D46" s="26" t="n"/>
      <c r="E46" s="27">
        <f>IFERROR(D46/C46,0)</f>
        <v/>
      </c>
      <c r="F46" s="28">
        <f>IFERROR(D46/$B$5,0)</f>
        <v/>
      </c>
    </row>
    <row r="47" ht="18" customHeight="1">
      <c r="B47" s="29" t="n"/>
      <c r="C47" s="30" t="n"/>
      <c r="D47" s="31" t="n"/>
      <c r="E47" s="32">
        <f>IFERROR(D47/C47,0)</f>
        <v/>
      </c>
      <c r="F47" s="33">
        <f>IFERROR(D47/$B$5,0)</f>
        <v/>
      </c>
    </row>
    <row r="48" ht="18" customHeight="1">
      <c r="B48" s="24" t="n"/>
      <c r="C48" s="25" t="n"/>
      <c r="D48" s="26" t="n"/>
      <c r="E48" s="27">
        <f>IFERROR(D48/C48,0)</f>
        <v/>
      </c>
      <c r="F48" s="28">
        <f>IFERROR(D48/$B$5,0)</f>
        <v/>
      </c>
    </row>
    <row r="49" ht="18" customHeight="1">
      <c r="B49" s="29" t="n"/>
      <c r="C49" s="30" t="n"/>
      <c r="D49" s="31" t="n"/>
      <c r="E49" s="32">
        <f>IFERROR(D49/C49,0)</f>
        <v/>
      </c>
      <c r="F49" s="33">
        <f>IFERROR(D49/$B$5,0)</f>
        <v/>
      </c>
    </row>
    <row r="50" ht="18" customHeight="1">
      <c r="B50" s="24" t="n"/>
      <c r="C50" s="25" t="n"/>
      <c r="D50" s="26" t="n"/>
      <c r="E50" s="27">
        <f>IFERROR(D50/C50,0)</f>
        <v/>
      </c>
      <c r="F50" s="28">
        <f>IFERROR(D50/$B$5,0)</f>
        <v/>
      </c>
    </row>
    <row r="51" ht="18" customHeight="1">
      <c r="B51" s="29" t="n"/>
      <c r="C51" s="30" t="n"/>
      <c r="D51" s="31" t="n"/>
      <c r="E51" s="32">
        <f>IFERROR(D51/C51,0)</f>
        <v/>
      </c>
      <c r="F51" s="33">
        <f>IFERROR(D51/$B$5,0)</f>
        <v/>
      </c>
    </row>
    <row r="52" ht="18" customHeight="1">
      <c r="B52" s="24" t="n"/>
      <c r="C52" s="25" t="n"/>
      <c r="D52" s="26" t="n"/>
      <c r="E52" s="27">
        <f>IFERROR(D52/C52,0)</f>
        <v/>
      </c>
      <c r="F52" s="28">
        <f>IFERROR(D52/$B$5,0)</f>
        <v/>
      </c>
    </row>
    <row r="53" ht="18" customHeight="1">
      <c r="B53" s="29" t="n"/>
      <c r="C53" s="30" t="n"/>
      <c r="D53" s="31" t="n"/>
      <c r="E53" s="32">
        <f>IFERROR(D53/C53,0)</f>
        <v/>
      </c>
      <c r="F53" s="33">
        <f>IFERROR(D53/$B$5,0)</f>
        <v/>
      </c>
    </row>
    <row r="54" ht="18" customHeight="1">
      <c r="B54" s="24" t="n"/>
      <c r="C54" s="25" t="n"/>
      <c r="D54" s="26" t="n"/>
      <c r="E54" s="27">
        <f>IFERROR(D54/C54,0)</f>
        <v/>
      </c>
      <c r="F54" s="28">
        <f>IFERROR(D54/$B$5,0)</f>
        <v/>
      </c>
    </row>
    <row r="55" ht="18" customHeight="1">
      <c r="B55" s="29" t="n"/>
      <c r="C55" s="30" t="n"/>
      <c r="D55" s="31" t="n"/>
      <c r="E55" s="32">
        <f>IFERROR(D55/C55,0)</f>
        <v/>
      </c>
      <c r="F55" s="33">
        <f>IFERROR(D55/$B$5,0)</f>
        <v/>
      </c>
    </row>
    <row r="56" ht="18" customHeight="1">
      <c r="B56" s="24" t="n"/>
      <c r="C56" s="25" t="n"/>
      <c r="D56" s="26" t="n"/>
      <c r="E56" s="27">
        <f>IFERROR(D56/C56,0)</f>
        <v/>
      </c>
      <c r="F56" s="28">
        <f>IFERROR(D56/$B$5,0)</f>
        <v/>
      </c>
    </row>
    <row r="57" ht="18" customHeight="1">
      <c r="B57" s="29" t="n"/>
      <c r="C57" s="30" t="n"/>
      <c r="D57" s="31" t="n"/>
      <c r="E57" s="32">
        <f>IFERROR(D57/C57,0)</f>
        <v/>
      </c>
      <c r="F57" s="33">
        <f>IFERROR(D57/$B$5,0)</f>
        <v/>
      </c>
    </row>
    <row r="58" ht="18" customHeight="1">
      <c r="B58" s="24" t="n"/>
      <c r="C58" s="25" t="n"/>
      <c r="D58" s="26" t="n"/>
      <c r="E58" s="27">
        <f>IFERROR(D58/C58,0)</f>
        <v/>
      </c>
      <c r="F58" s="28">
        <f>IFERROR(D58/$B$5,0)</f>
        <v/>
      </c>
    </row>
    <row r="59" ht="18" customHeight="1">
      <c r="B59" s="29" t="n"/>
      <c r="C59" s="30" t="n"/>
      <c r="D59" s="31" t="n"/>
      <c r="E59" s="32">
        <f>IFERROR(D59/C59,0)</f>
        <v/>
      </c>
      <c r="F59" s="33">
        <f>IFERROR(D59/$B$5,0)</f>
        <v/>
      </c>
    </row>
    <row r="60" ht="18" customHeight="1">
      <c r="B60" s="24" t="n"/>
      <c r="C60" s="25" t="n"/>
      <c r="D60" s="26" t="n"/>
      <c r="E60" s="27">
        <f>IFERROR(D60/C60,0)</f>
        <v/>
      </c>
      <c r="F60" s="28">
        <f>IFERROR(D60/$B$5,0)</f>
        <v/>
      </c>
    </row>
    <row r="61" ht="18" customHeight="1">
      <c r="B61" s="29" t="n"/>
      <c r="C61" s="30" t="n"/>
      <c r="D61" s="31" t="n"/>
      <c r="E61" s="32">
        <f>IFERROR(D61/C61,0)</f>
        <v/>
      </c>
      <c r="F61" s="33">
        <f>IFERROR(D61/$B$5,0)</f>
        <v/>
      </c>
    </row>
    <row r="62" ht="18" customHeight="1">
      <c r="B62" s="24" t="n"/>
      <c r="C62" s="25" t="n"/>
      <c r="D62" s="26" t="n"/>
      <c r="E62" s="27">
        <f>IFERROR(D62/C62,0)</f>
        <v/>
      </c>
      <c r="F62" s="28">
        <f>IFERROR(D62/$B$5,0)</f>
        <v/>
      </c>
    </row>
    <row r="63" ht="18" customHeight="1">
      <c r="B63" s="29" t="n"/>
      <c r="C63" s="30" t="n"/>
      <c r="D63" s="31" t="n"/>
      <c r="E63" s="32">
        <f>IFERROR(D63/C63,0)</f>
        <v/>
      </c>
      <c r="F63" s="33">
        <f>IFERROR(D63/$B$5,0)</f>
        <v/>
      </c>
    </row>
    <row r="64" ht="18" customHeight="1">
      <c r="B64" s="24" t="n"/>
      <c r="C64" s="25" t="n"/>
      <c r="D64" s="26" t="n"/>
      <c r="E64" s="27">
        <f>IFERROR(D64/C64,0)</f>
        <v/>
      </c>
      <c r="F64" s="28">
        <f>IFERROR(D64/$B$5,0)</f>
        <v/>
      </c>
    </row>
    <row r="65" ht="18" customHeight="1">
      <c r="B65" s="29" t="n"/>
      <c r="C65" s="30" t="n"/>
      <c r="D65" s="31" t="n"/>
      <c r="E65" s="32">
        <f>IFERROR(D65/C65,0)</f>
        <v/>
      </c>
      <c r="F65" s="33">
        <f>IFERROR(D65/$B$5,0)</f>
        <v/>
      </c>
    </row>
    <row r="66" ht="18" customHeight="1">
      <c r="B66" s="24" t="n"/>
      <c r="C66" s="25" t="n"/>
      <c r="D66" s="26" t="n"/>
      <c r="E66" s="27">
        <f>IFERROR(D66/C66,0)</f>
        <v/>
      </c>
      <c r="F66" s="28">
        <f>IFERROR(D66/$B$5,0)</f>
        <v/>
      </c>
    </row>
    <row r="67" ht="18" customHeight="1">
      <c r="B67" s="29" t="n"/>
      <c r="C67" s="30" t="n"/>
      <c r="D67" s="31" t="n"/>
      <c r="E67" s="32">
        <f>IFERROR(D67/C67,0)</f>
        <v/>
      </c>
      <c r="F67" s="33">
        <f>IFERROR(D67/$B$5,0)</f>
        <v/>
      </c>
    </row>
    <row r="69" ht="22" customHeight="1">
      <c r="B69" s="20" t="inlineStr">
        <is>
          <t>Items sold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</row>
    <row r="70" ht="20" customHeight="1">
      <c r="B70" s="22" t="inlineStr">
        <is>
          <t>Item</t>
        </is>
      </c>
      <c r="C70" s="34" t="n"/>
      <c r="D70" s="34" t="n"/>
      <c r="E70" s="23" t="inlineStr">
        <is>
          <t>Qty</t>
        </is>
      </c>
      <c r="F70" s="23" t="inlineStr">
        <is>
          <t>Income</t>
        </is>
      </c>
      <c r="G70" s="23" t="inlineStr">
        <is>
          <t>Share %</t>
        </is>
      </c>
    </row>
    <row r="71" ht="18" customHeight="1">
      <c r="B71" s="24" t="n"/>
      <c r="C71" s="35" t="n"/>
      <c r="D71" s="35" t="n"/>
      <c r="E71" s="25" t="n"/>
      <c r="F71" s="26" t="n"/>
      <c r="G71" s="28">
        <f>IFERROR(F71/$B$5,0)</f>
        <v/>
      </c>
    </row>
    <row r="72" ht="18" customHeight="1">
      <c r="B72" s="29" t="n"/>
      <c r="C72" s="36" t="n"/>
      <c r="D72" s="36" t="n"/>
      <c r="E72" s="30" t="n"/>
      <c r="F72" s="31" t="n"/>
      <c r="G72" s="33">
        <f>IFERROR(F72/$B$5,0)</f>
        <v/>
      </c>
    </row>
    <row r="73" ht="18" customHeight="1">
      <c r="B73" s="24" t="n"/>
      <c r="C73" s="35" t="n"/>
      <c r="D73" s="35" t="n"/>
      <c r="E73" s="25" t="n"/>
      <c r="F73" s="26" t="n"/>
      <c r="G73" s="28">
        <f>IFERROR(F73/$B$5,0)</f>
        <v/>
      </c>
    </row>
    <row r="74" ht="18" customHeight="1">
      <c r="B74" s="29" t="n"/>
      <c r="C74" s="36" t="n"/>
      <c r="D74" s="36" t="n"/>
      <c r="E74" s="30" t="n"/>
      <c r="F74" s="31" t="n"/>
      <c r="G74" s="33">
        <f>IFERROR(F74/$B$5,0)</f>
        <v/>
      </c>
    </row>
    <row r="75" ht="18" customHeight="1">
      <c r="B75" s="24" t="n"/>
      <c r="C75" s="35" t="n"/>
      <c r="D75" s="35" t="n"/>
      <c r="E75" s="25" t="n"/>
      <c r="F75" s="26" t="n"/>
      <c r="G75" s="28">
        <f>IFERROR(F75/$B$5,0)</f>
        <v/>
      </c>
    </row>
    <row r="76" ht="18" customHeight="1">
      <c r="B76" s="29" t="n"/>
      <c r="C76" s="36" t="n"/>
      <c r="D76" s="36" t="n"/>
      <c r="E76" s="30" t="n"/>
      <c r="F76" s="31" t="n"/>
      <c r="G76" s="33">
        <f>IFERROR(F76/$B$5,0)</f>
        <v/>
      </c>
    </row>
    <row r="77" ht="18" customHeight="1">
      <c r="B77" s="24" t="n"/>
      <c r="C77" s="35" t="n"/>
      <c r="D77" s="35" t="n"/>
      <c r="E77" s="25" t="n"/>
      <c r="F77" s="26" t="n"/>
      <c r="G77" s="28">
        <f>IFERROR(F77/$B$5,0)</f>
        <v/>
      </c>
    </row>
    <row r="78" ht="18" customHeight="1">
      <c r="B78" s="29" t="n"/>
      <c r="C78" s="36" t="n"/>
      <c r="D78" s="36" t="n"/>
      <c r="E78" s="30" t="n"/>
      <c r="F78" s="31" t="n"/>
      <c r="G78" s="33">
        <f>IFERROR(F78/$B$5,0)</f>
        <v/>
      </c>
    </row>
    <row r="79" ht="18" customHeight="1">
      <c r="B79" s="24" t="n"/>
      <c r="C79" s="35" t="n"/>
      <c r="D79" s="35" t="n"/>
      <c r="E79" s="25" t="n"/>
      <c r="F79" s="26" t="n"/>
      <c r="G79" s="28">
        <f>IFERROR(F79/$B$5,0)</f>
        <v/>
      </c>
    </row>
    <row r="80" ht="18" customHeight="1">
      <c r="B80" s="29" t="n"/>
      <c r="C80" s="36" t="n"/>
      <c r="D80" s="36" t="n"/>
      <c r="E80" s="30" t="n"/>
      <c r="F80" s="31" t="n"/>
      <c r="G80" s="33">
        <f>IFERROR(F80/$B$5,0)</f>
        <v/>
      </c>
    </row>
    <row r="81" ht="18" customHeight="1">
      <c r="B81" s="24" t="n"/>
      <c r="C81" s="35" t="n"/>
      <c r="D81" s="35" t="n"/>
      <c r="E81" s="25" t="n"/>
      <c r="F81" s="26" t="n"/>
      <c r="G81" s="28">
        <f>IFERROR(F81/$B$5,0)</f>
        <v/>
      </c>
    </row>
    <row r="82" ht="18" customHeight="1">
      <c r="B82" s="29" t="n"/>
      <c r="C82" s="36" t="n"/>
      <c r="D82" s="36" t="n"/>
      <c r="E82" s="30" t="n"/>
      <c r="F82" s="31" t="n"/>
      <c r="G82" s="33">
        <f>IFERROR(F82/$B$5,0)</f>
        <v/>
      </c>
    </row>
    <row r="83" ht="18" customHeight="1">
      <c r="B83" s="24" t="n"/>
      <c r="C83" s="35" t="n"/>
      <c r="D83" s="35" t="n"/>
      <c r="E83" s="25" t="n"/>
      <c r="F83" s="26" t="n"/>
      <c r="G83" s="28">
        <f>IFERROR(F83/$B$5,0)</f>
        <v/>
      </c>
    </row>
    <row r="84" ht="18" customHeight="1">
      <c r="B84" s="29" t="n"/>
      <c r="C84" s="36" t="n"/>
      <c r="D84" s="36" t="n"/>
      <c r="E84" s="30" t="n"/>
      <c r="F84" s="31" t="n"/>
      <c r="G84" s="33">
        <f>IFERROR(F84/$B$5,0)</f>
        <v/>
      </c>
    </row>
    <row r="85" ht="18" customHeight="1">
      <c r="B85" s="24" t="n"/>
      <c r="C85" s="35" t="n"/>
      <c r="D85" s="35" t="n"/>
      <c r="E85" s="25" t="n"/>
      <c r="F85" s="26" t="n"/>
      <c r="G85" s="28">
        <f>IFERROR(F85/$B$5,0)</f>
        <v/>
      </c>
    </row>
    <row r="86" ht="18" customHeight="1">
      <c r="B86" s="29" t="n"/>
      <c r="C86" s="36" t="n"/>
      <c r="D86" s="36" t="n"/>
      <c r="E86" s="30" t="n"/>
      <c r="F86" s="31" t="n"/>
      <c r="G86" s="33">
        <f>IFERROR(F86/$B$5,0)</f>
        <v/>
      </c>
    </row>
    <row r="87" ht="18" customHeight="1">
      <c r="B87" s="24" t="n"/>
      <c r="C87" s="35" t="n"/>
      <c r="D87" s="35" t="n"/>
      <c r="E87" s="25" t="n"/>
      <c r="F87" s="26" t="n"/>
      <c r="G87" s="28">
        <f>IFERROR(F87/$B$5,0)</f>
        <v/>
      </c>
    </row>
    <row r="88" ht="18" customHeight="1">
      <c r="B88" s="29" t="n"/>
      <c r="C88" s="36" t="n"/>
      <c r="D88" s="36" t="n"/>
      <c r="E88" s="30" t="n"/>
      <c r="F88" s="31" t="n"/>
      <c r="G88" s="33">
        <f>IFERROR(F88/$B$5,0)</f>
        <v/>
      </c>
    </row>
    <row r="89" ht="18" customHeight="1">
      <c r="B89" s="24" t="n"/>
      <c r="C89" s="35" t="n"/>
      <c r="D89" s="35" t="n"/>
      <c r="E89" s="25" t="n"/>
      <c r="F89" s="26" t="n"/>
      <c r="G89" s="28">
        <f>IFERROR(F89/$B$5,0)</f>
        <v/>
      </c>
    </row>
    <row r="90" ht="18" customHeight="1">
      <c r="B90" s="29" t="n"/>
      <c r="C90" s="36" t="n"/>
      <c r="D90" s="36" t="n"/>
      <c r="E90" s="30" t="n"/>
      <c r="F90" s="31" t="n"/>
      <c r="G90" s="33">
        <f>IFERROR(F90/$B$5,0)</f>
        <v/>
      </c>
    </row>
    <row r="91" ht="18" customHeight="1">
      <c r="B91" s="24" t="n"/>
      <c r="C91" s="35" t="n"/>
      <c r="D91" s="35" t="n"/>
      <c r="E91" s="25" t="n"/>
      <c r="F91" s="26" t="n"/>
      <c r="G91" s="28">
        <f>IFERROR(F91/$B$5,0)</f>
        <v/>
      </c>
    </row>
    <row r="92" ht="18" customHeight="1">
      <c r="B92" s="29" t="n"/>
      <c r="C92" s="36" t="n"/>
      <c r="D92" s="36" t="n"/>
      <c r="E92" s="30" t="n"/>
      <c r="F92" s="31" t="n"/>
      <c r="G92" s="33">
        <f>IFERROR(F92/$B$5,0)</f>
        <v/>
      </c>
    </row>
    <row r="93" ht="18" customHeight="1">
      <c r="B93" s="24" t="n"/>
      <c r="C93" s="35" t="n"/>
      <c r="D93" s="35" t="n"/>
      <c r="E93" s="25" t="n"/>
      <c r="F93" s="26" t="n"/>
      <c r="G93" s="28">
        <f>IFERROR(F93/$B$5,0)</f>
        <v/>
      </c>
    </row>
    <row r="94" ht="18" customHeight="1">
      <c r="B94" s="29" t="n"/>
      <c r="C94" s="36" t="n"/>
      <c r="D94" s="36" t="n"/>
      <c r="E94" s="30" t="n"/>
      <c r="F94" s="31" t="n"/>
      <c r="G94" s="33">
        <f>IFERROR(F94/$B$5,0)</f>
        <v/>
      </c>
    </row>
    <row r="95" ht="18" customHeight="1">
      <c r="B95" s="24" t="n"/>
      <c r="C95" s="35" t="n"/>
      <c r="D95" s="35" t="n"/>
      <c r="E95" s="25" t="n"/>
      <c r="F95" s="26" t="n"/>
      <c r="G95" s="28">
        <f>IFERROR(F95/$B$5,0)</f>
        <v/>
      </c>
    </row>
    <row r="96" ht="18" customHeight="1">
      <c r="B96" s="29" t="n"/>
      <c r="C96" s="36" t="n"/>
      <c r="D96" s="36" t="n"/>
      <c r="E96" s="30" t="n"/>
      <c r="F96" s="31" t="n"/>
      <c r="G96" s="33">
        <f>IFERROR(F96/$B$5,0)</f>
        <v/>
      </c>
    </row>
    <row r="97" ht="18" customHeight="1">
      <c r="B97" s="24" t="n"/>
      <c r="C97" s="35" t="n"/>
      <c r="D97" s="35" t="n"/>
      <c r="E97" s="25" t="n"/>
      <c r="F97" s="26" t="n"/>
      <c r="G97" s="28">
        <f>IFERROR(F97/$B$5,0)</f>
        <v/>
      </c>
    </row>
    <row r="98" ht="18" customHeight="1">
      <c r="B98" s="29" t="n"/>
      <c r="C98" s="36" t="n"/>
      <c r="D98" s="36" t="n"/>
      <c r="E98" s="30" t="n"/>
      <c r="F98" s="31" t="n"/>
      <c r="G98" s="33">
        <f>IFERROR(F98/$B$5,0)</f>
        <v/>
      </c>
    </row>
    <row r="99" ht="18" customHeight="1">
      <c r="B99" s="24" t="n"/>
      <c r="C99" s="35" t="n"/>
      <c r="D99" s="35" t="n"/>
      <c r="E99" s="25" t="n"/>
      <c r="F99" s="26" t="n"/>
      <c r="G99" s="28">
        <f>IFERROR(F99/$B$5,0)</f>
        <v/>
      </c>
    </row>
    <row r="100" ht="18" customHeight="1">
      <c r="B100" s="29" t="n"/>
      <c r="C100" s="36" t="n"/>
      <c r="D100" s="36" t="n"/>
      <c r="E100" s="30" t="n"/>
      <c r="F100" s="31" t="n"/>
      <c r="G100" s="33">
        <f>IFERROR(F100/$B$5,0)</f>
        <v/>
      </c>
    </row>
    <row r="101" ht="18" customHeight="1">
      <c r="B101" s="24" t="n"/>
      <c r="C101" s="35" t="n"/>
      <c r="D101" s="35" t="n"/>
      <c r="E101" s="25" t="n"/>
      <c r="F101" s="26" t="n"/>
      <c r="G101" s="28">
        <f>IFERROR(F101/$B$5,0)</f>
        <v/>
      </c>
    </row>
    <row r="102" ht="18" customHeight="1">
      <c r="B102" s="29" t="n"/>
      <c r="C102" s="36" t="n"/>
      <c r="D102" s="36" t="n"/>
      <c r="E102" s="30" t="n"/>
      <c r="F102" s="31" t="n"/>
      <c r="G102" s="33">
        <f>IFERROR(F102/$B$5,0)</f>
        <v/>
      </c>
    </row>
    <row r="103" ht="18" customHeight="1">
      <c r="B103" s="24" t="n"/>
      <c r="C103" s="35" t="n"/>
      <c r="D103" s="35" t="n"/>
      <c r="E103" s="25" t="n"/>
      <c r="F103" s="26" t="n"/>
      <c r="G103" s="28">
        <f>IFERROR(F103/$B$5,0)</f>
        <v/>
      </c>
    </row>
    <row r="104" ht="18" customHeight="1">
      <c r="B104" s="29" t="n"/>
      <c r="C104" s="36" t="n"/>
      <c r="D104" s="36" t="n"/>
      <c r="E104" s="30" t="n"/>
      <c r="F104" s="31" t="n"/>
      <c r="G104" s="33">
        <f>IFERROR(F104/$B$5,0)</f>
        <v/>
      </c>
    </row>
    <row r="105" ht="18" customHeight="1">
      <c r="B105" s="24" t="n"/>
      <c r="C105" s="35" t="n"/>
      <c r="D105" s="35" t="n"/>
      <c r="E105" s="25" t="n"/>
      <c r="F105" s="26" t="n"/>
      <c r="G105" s="28">
        <f>IFERROR(F105/$B$5,0)</f>
        <v/>
      </c>
    </row>
    <row r="106" ht="18" customHeight="1">
      <c r="B106" s="29" t="n"/>
      <c r="C106" s="36" t="n"/>
      <c r="D106" s="36" t="n"/>
      <c r="E106" s="30" t="n"/>
      <c r="F106" s="31" t="n"/>
      <c r="G106" s="33">
        <f>IFERROR(F106/$B$5,0)</f>
        <v/>
      </c>
    </row>
    <row r="107" ht="18" customHeight="1">
      <c r="B107" s="24" t="n"/>
      <c r="C107" s="35" t="n"/>
      <c r="D107" s="35" t="n"/>
      <c r="E107" s="25" t="n"/>
      <c r="F107" s="26" t="n"/>
      <c r="G107" s="28">
        <f>IFERROR(F107/$B$5,0)</f>
        <v/>
      </c>
    </row>
    <row r="108" ht="18" customHeight="1">
      <c r="B108" s="29" t="n"/>
      <c r="C108" s="36" t="n"/>
      <c r="D108" s="36" t="n"/>
      <c r="E108" s="30" t="n"/>
      <c r="F108" s="31" t="n"/>
      <c r="G108" s="33">
        <f>IFERROR(F108/$B$5,0)</f>
        <v/>
      </c>
    </row>
    <row r="109" ht="18" customHeight="1">
      <c r="B109" s="24" t="n"/>
      <c r="C109" s="35" t="n"/>
      <c r="D109" s="35" t="n"/>
      <c r="E109" s="25" t="n"/>
      <c r="F109" s="26" t="n"/>
      <c r="G109" s="28">
        <f>IFERROR(F109/$B$5,0)</f>
        <v/>
      </c>
    </row>
    <row r="110" ht="18" customHeight="1">
      <c r="B110" s="29" t="n"/>
      <c r="C110" s="36" t="n"/>
      <c r="D110" s="36" t="n"/>
      <c r="E110" s="30" t="n"/>
      <c r="F110" s="31" t="n"/>
      <c r="G110" s="33">
        <f>IFERROR(F110/$B$5,0)</f>
        <v/>
      </c>
    </row>
  </sheetData>
  <mergeCells count="53">
    <mergeCell ref="B98:D98"/>
    <mergeCell ref="B107:D107"/>
    <mergeCell ref="B101:D101"/>
    <mergeCell ref="B73:D73"/>
    <mergeCell ref="B88:D88"/>
    <mergeCell ref="B82:D82"/>
    <mergeCell ref="J2:M2"/>
    <mergeCell ref="B1:M1"/>
    <mergeCell ref="B78:D78"/>
    <mergeCell ref="B87:D87"/>
    <mergeCell ref="B103:D103"/>
    <mergeCell ref="B108:D108"/>
    <mergeCell ref="B99:D99"/>
    <mergeCell ref="B84:D84"/>
    <mergeCell ref="B74:D74"/>
    <mergeCell ref="B92:D92"/>
    <mergeCell ref="B83:D83"/>
    <mergeCell ref="B95:D95"/>
    <mergeCell ref="B89:D89"/>
    <mergeCell ref="B104:D104"/>
    <mergeCell ref="B5:D5"/>
    <mergeCell ref="H2:I2"/>
    <mergeCell ref="B76:D76"/>
    <mergeCell ref="B80:D80"/>
    <mergeCell ref="B94:D94"/>
    <mergeCell ref="B110:D110"/>
    <mergeCell ref="K4:M4"/>
    <mergeCell ref="C2:G2"/>
    <mergeCell ref="H5:J5"/>
    <mergeCell ref="B79:D79"/>
    <mergeCell ref="B4:D4"/>
    <mergeCell ref="B85:D85"/>
    <mergeCell ref="B97:D97"/>
    <mergeCell ref="B100:D100"/>
    <mergeCell ref="B75:D75"/>
    <mergeCell ref="B106:D106"/>
    <mergeCell ref="B91:D91"/>
    <mergeCell ref="B109:D109"/>
    <mergeCell ref="B81:D81"/>
    <mergeCell ref="B72:D72"/>
    <mergeCell ref="B90:D90"/>
    <mergeCell ref="E5:G5"/>
    <mergeCell ref="K5:M5"/>
    <mergeCell ref="B71:D71"/>
    <mergeCell ref="B93:D93"/>
    <mergeCell ref="B102:D102"/>
    <mergeCell ref="H4:J4"/>
    <mergeCell ref="B96:D96"/>
    <mergeCell ref="E4:G4"/>
    <mergeCell ref="B70:D70"/>
    <mergeCell ref="B105:D105"/>
    <mergeCell ref="B77:D77"/>
    <mergeCell ref="B86:D86"/>
  </mergeCells>
  <printOptions horizontalCentered="1"/>
  <pageMargins left="0.4" right="0.4" top="0.5" bottom="0.5" header="0.5" footer="0.5"/>
  <pageSetup orientation="portrait" paperSize="9" fitToHeight="0" fitToWidth="1"/>
  <rowBreaks count="1" manualBreakCount="1">
    <brk id="41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M110"/>
  <sheetViews>
    <sheetView showGridLines="0" rightToLeft="1" zoomScale="10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40" customHeight="1">
      <c r="B1" s="1" t="inlineStr">
        <is>
          <t>IGU Café · تقرير المبيعات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B2" s="3" t="inlineStr">
        <is>
          <t>الفترة</t>
        </is>
      </c>
      <c r="C2" s="4" t="n"/>
      <c r="H2" s="5" t="inlineStr">
        <is>
          <t>تاريخ الإنشاء</t>
        </is>
      </c>
      <c r="J2" s="6" t="n"/>
    </row>
    <row r="3" ht="8" customHeight="1"/>
    <row r="4" ht="22" customHeight="1">
      <c r="B4" s="7" t="inlineStr">
        <is>
          <t>إجمالي الدخل</t>
        </is>
      </c>
      <c r="C4" s="8" t="n"/>
      <c r="D4" s="8" t="n"/>
      <c r="E4" s="9" t="inlineStr">
        <is>
          <t>الطلبات</t>
        </is>
      </c>
      <c r="F4" s="10" t="n"/>
      <c r="G4" s="10" t="n"/>
      <c r="H4" s="11" t="inlineStr">
        <is>
          <t>متوسط الطلب</t>
        </is>
      </c>
      <c r="I4" s="12" t="n"/>
      <c r="J4" s="12" t="n"/>
      <c r="K4" s="13" t="inlineStr">
        <is>
          <t>الملغاة</t>
        </is>
      </c>
      <c r="L4" s="14" t="n"/>
      <c r="M4" s="14" t="n"/>
    </row>
    <row r="5" ht="38" customHeight="1">
      <c r="B5" s="15">
        <f>SUM(D44:D67)</f>
        <v/>
      </c>
      <c r="C5" s="16" t="n"/>
      <c r="D5" s="16" t="n"/>
      <c r="E5" s="17">
        <f>SUM(C44:C67)</f>
        <v/>
      </c>
      <c r="F5" s="16" t="n"/>
      <c r="G5" s="16" t="n"/>
      <c r="H5" s="18">
        <f>IFERROR(B5/E5,0)</f>
        <v/>
      </c>
      <c r="I5" s="16" t="n"/>
      <c r="J5" s="16" t="n"/>
      <c r="K5" s="19" t="n">
        <v>0</v>
      </c>
      <c r="L5" s="16" t="n"/>
      <c r="M5" s="16" t="n"/>
    </row>
    <row r="7" ht="22" customHeight="1">
      <c r="B7" s="20" t="inlineStr">
        <is>
          <t>الرسوم البيانية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</row>
    <row r="42" ht="22" customHeight="1">
      <c r="B42" s="20" t="inlineStr">
        <is>
          <t>المبيعات حسب الساعة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</row>
    <row r="43" ht="20" customHeight="1">
      <c r="B43" s="22" t="inlineStr">
        <is>
          <t>الساعة</t>
        </is>
      </c>
      <c r="C43" s="23" t="inlineStr">
        <is>
          <t>الطلبات</t>
        </is>
      </c>
      <c r="D43" s="23" t="inlineStr">
        <is>
          <t>الدخل</t>
        </is>
      </c>
      <c r="E43" s="23" t="inlineStr">
        <is>
          <t>متوسط الطلب</t>
        </is>
      </c>
      <c r="F43" s="23" t="inlineStr">
        <is>
          <t>الحصة %</t>
        </is>
      </c>
    </row>
    <row r="44" ht="18" customHeight="1">
      <c r="B44" s="24" t="n"/>
      <c r="C44" s="25" t="n"/>
      <c r="D44" s="26" t="n"/>
      <c r="E44" s="27">
        <f>IFERROR(D44/C44,0)</f>
        <v/>
      </c>
      <c r="F44" s="28">
        <f>IFERROR(D44/$B$5,0)</f>
        <v/>
      </c>
    </row>
    <row r="45" ht="18" customHeight="1">
      <c r="B45" s="29" t="n"/>
      <c r="C45" s="30" t="n"/>
      <c r="D45" s="31" t="n"/>
      <c r="E45" s="32">
        <f>IFERROR(D45/C45,0)</f>
        <v/>
      </c>
      <c r="F45" s="33">
        <f>IFERROR(D45/$B$5,0)</f>
        <v/>
      </c>
    </row>
    <row r="46" ht="18" customHeight="1">
      <c r="B46" s="24" t="n"/>
      <c r="C46" s="25" t="n"/>
      <c r="D46" s="26" t="n"/>
      <c r="E46" s="27">
        <f>IFERROR(D46/C46,0)</f>
        <v/>
      </c>
      <c r="F46" s="28">
        <f>IFERROR(D46/$B$5,0)</f>
        <v/>
      </c>
    </row>
    <row r="47" ht="18" customHeight="1">
      <c r="B47" s="29" t="n"/>
      <c r="C47" s="30" t="n"/>
      <c r="D47" s="31" t="n"/>
      <c r="E47" s="32">
        <f>IFERROR(D47/C47,0)</f>
        <v/>
      </c>
      <c r="F47" s="33">
        <f>IFERROR(D47/$B$5,0)</f>
        <v/>
      </c>
    </row>
    <row r="48" ht="18" customHeight="1">
      <c r="B48" s="24" t="n"/>
      <c r="C48" s="25" t="n"/>
      <c r="D48" s="26" t="n"/>
      <c r="E48" s="27">
        <f>IFERROR(D48/C48,0)</f>
        <v/>
      </c>
      <c r="F48" s="28">
        <f>IFERROR(D48/$B$5,0)</f>
        <v/>
      </c>
    </row>
    <row r="49" ht="18" customHeight="1">
      <c r="B49" s="29" t="n"/>
      <c r="C49" s="30" t="n"/>
      <c r="D49" s="31" t="n"/>
      <c r="E49" s="32">
        <f>IFERROR(D49/C49,0)</f>
        <v/>
      </c>
      <c r="F49" s="33">
        <f>IFERROR(D49/$B$5,0)</f>
        <v/>
      </c>
    </row>
    <row r="50" ht="18" customHeight="1">
      <c r="B50" s="24" t="n"/>
      <c r="C50" s="25" t="n"/>
      <c r="D50" s="26" t="n"/>
      <c r="E50" s="27">
        <f>IFERROR(D50/C50,0)</f>
        <v/>
      </c>
      <c r="F50" s="28">
        <f>IFERROR(D50/$B$5,0)</f>
        <v/>
      </c>
    </row>
    <row r="51" ht="18" customHeight="1">
      <c r="B51" s="29" t="n"/>
      <c r="C51" s="30" t="n"/>
      <c r="D51" s="31" t="n"/>
      <c r="E51" s="32">
        <f>IFERROR(D51/C51,0)</f>
        <v/>
      </c>
      <c r="F51" s="33">
        <f>IFERROR(D51/$B$5,0)</f>
        <v/>
      </c>
    </row>
    <row r="52" ht="18" customHeight="1">
      <c r="B52" s="24" t="n"/>
      <c r="C52" s="25" t="n"/>
      <c r="D52" s="26" t="n"/>
      <c r="E52" s="27">
        <f>IFERROR(D52/C52,0)</f>
        <v/>
      </c>
      <c r="F52" s="28">
        <f>IFERROR(D52/$B$5,0)</f>
        <v/>
      </c>
    </row>
    <row r="53" ht="18" customHeight="1">
      <c r="B53" s="29" t="n"/>
      <c r="C53" s="30" t="n"/>
      <c r="D53" s="31" t="n"/>
      <c r="E53" s="32">
        <f>IFERROR(D53/C53,0)</f>
        <v/>
      </c>
      <c r="F53" s="33">
        <f>IFERROR(D53/$B$5,0)</f>
        <v/>
      </c>
    </row>
    <row r="54" ht="18" customHeight="1">
      <c r="B54" s="24" t="n"/>
      <c r="C54" s="25" t="n"/>
      <c r="D54" s="26" t="n"/>
      <c r="E54" s="27">
        <f>IFERROR(D54/C54,0)</f>
        <v/>
      </c>
      <c r="F54" s="28">
        <f>IFERROR(D54/$B$5,0)</f>
        <v/>
      </c>
    </row>
    <row r="55" ht="18" customHeight="1">
      <c r="B55" s="29" t="n"/>
      <c r="C55" s="30" t="n"/>
      <c r="D55" s="31" t="n"/>
      <c r="E55" s="32">
        <f>IFERROR(D55/C55,0)</f>
        <v/>
      </c>
      <c r="F55" s="33">
        <f>IFERROR(D55/$B$5,0)</f>
        <v/>
      </c>
    </row>
    <row r="56" ht="18" customHeight="1">
      <c r="B56" s="24" t="n"/>
      <c r="C56" s="25" t="n"/>
      <c r="D56" s="26" t="n"/>
      <c r="E56" s="27">
        <f>IFERROR(D56/C56,0)</f>
        <v/>
      </c>
      <c r="F56" s="28">
        <f>IFERROR(D56/$B$5,0)</f>
        <v/>
      </c>
    </row>
    <row r="57" ht="18" customHeight="1">
      <c r="B57" s="29" t="n"/>
      <c r="C57" s="30" t="n"/>
      <c r="D57" s="31" t="n"/>
      <c r="E57" s="32">
        <f>IFERROR(D57/C57,0)</f>
        <v/>
      </c>
      <c r="F57" s="33">
        <f>IFERROR(D57/$B$5,0)</f>
        <v/>
      </c>
    </row>
    <row r="58" ht="18" customHeight="1">
      <c r="B58" s="24" t="n"/>
      <c r="C58" s="25" t="n"/>
      <c r="D58" s="26" t="n"/>
      <c r="E58" s="27">
        <f>IFERROR(D58/C58,0)</f>
        <v/>
      </c>
      <c r="F58" s="28">
        <f>IFERROR(D58/$B$5,0)</f>
        <v/>
      </c>
    </row>
    <row r="59" ht="18" customHeight="1">
      <c r="B59" s="29" t="n"/>
      <c r="C59" s="30" t="n"/>
      <c r="D59" s="31" t="n"/>
      <c r="E59" s="32">
        <f>IFERROR(D59/C59,0)</f>
        <v/>
      </c>
      <c r="F59" s="33">
        <f>IFERROR(D59/$B$5,0)</f>
        <v/>
      </c>
    </row>
    <row r="60" ht="18" customHeight="1">
      <c r="B60" s="24" t="n"/>
      <c r="C60" s="25" t="n"/>
      <c r="D60" s="26" t="n"/>
      <c r="E60" s="27">
        <f>IFERROR(D60/C60,0)</f>
        <v/>
      </c>
      <c r="F60" s="28">
        <f>IFERROR(D60/$B$5,0)</f>
        <v/>
      </c>
    </row>
    <row r="61" ht="18" customHeight="1">
      <c r="B61" s="29" t="n"/>
      <c r="C61" s="30" t="n"/>
      <c r="D61" s="31" t="n"/>
      <c r="E61" s="32">
        <f>IFERROR(D61/C61,0)</f>
        <v/>
      </c>
      <c r="F61" s="33">
        <f>IFERROR(D61/$B$5,0)</f>
        <v/>
      </c>
    </row>
    <row r="62" ht="18" customHeight="1">
      <c r="B62" s="24" t="n"/>
      <c r="C62" s="25" t="n"/>
      <c r="D62" s="26" t="n"/>
      <c r="E62" s="27">
        <f>IFERROR(D62/C62,0)</f>
        <v/>
      </c>
      <c r="F62" s="28">
        <f>IFERROR(D62/$B$5,0)</f>
        <v/>
      </c>
    </row>
    <row r="63" ht="18" customHeight="1">
      <c r="B63" s="29" t="n"/>
      <c r="C63" s="30" t="n"/>
      <c r="D63" s="31" t="n"/>
      <c r="E63" s="32">
        <f>IFERROR(D63/C63,0)</f>
        <v/>
      </c>
      <c r="F63" s="33">
        <f>IFERROR(D63/$B$5,0)</f>
        <v/>
      </c>
    </row>
    <row r="64" ht="18" customHeight="1">
      <c r="B64" s="24" t="n"/>
      <c r="C64" s="25" t="n"/>
      <c r="D64" s="26" t="n"/>
      <c r="E64" s="27">
        <f>IFERROR(D64/C64,0)</f>
        <v/>
      </c>
      <c r="F64" s="28">
        <f>IFERROR(D64/$B$5,0)</f>
        <v/>
      </c>
    </row>
    <row r="65" ht="18" customHeight="1">
      <c r="B65" s="29" t="n"/>
      <c r="C65" s="30" t="n"/>
      <c r="D65" s="31" t="n"/>
      <c r="E65" s="32">
        <f>IFERROR(D65/C65,0)</f>
        <v/>
      </c>
      <c r="F65" s="33">
        <f>IFERROR(D65/$B$5,0)</f>
        <v/>
      </c>
    </row>
    <row r="66" ht="18" customHeight="1">
      <c r="B66" s="24" t="n"/>
      <c r="C66" s="25" t="n"/>
      <c r="D66" s="26" t="n"/>
      <c r="E66" s="27">
        <f>IFERROR(D66/C66,0)</f>
        <v/>
      </c>
      <c r="F66" s="28">
        <f>IFERROR(D66/$B$5,0)</f>
        <v/>
      </c>
    </row>
    <row r="67" ht="18" customHeight="1">
      <c r="B67" s="29" t="n"/>
      <c r="C67" s="30" t="n"/>
      <c r="D67" s="31" t="n"/>
      <c r="E67" s="32">
        <f>IFERROR(D67/C67,0)</f>
        <v/>
      </c>
      <c r="F67" s="33">
        <f>IFERROR(D67/$B$5,0)</f>
        <v/>
      </c>
    </row>
    <row r="69" ht="22" customHeight="1">
      <c r="B69" s="20" t="inlineStr">
        <is>
          <t>المنتجات المباعة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</row>
    <row r="70" ht="20" customHeight="1">
      <c r="B70" s="22" t="inlineStr">
        <is>
          <t>المنتج</t>
        </is>
      </c>
      <c r="C70" s="34" t="n"/>
      <c r="D70" s="34" t="n"/>
      <c r="E70" s="23" t="inlineStr">
        <is>
          <t>الكمية</t>
        </is>
      </c>
      <c r="F70" s="23" t="inlineStr">
        <is>
          <t>الدخل</t>
        </is>
      </c>
      <c r="G70" s="23" t="inlineStr">
        <is>
          <t>الحصة %</t>
        </is>
      </c>
    </row>
    <row r="71" ht="18" customHeight="1">
      <c r="B71" s="24" t="n"/>
      <c r="C71" s="35" t="n"/>
      <c r="D71" s="35" t="n"/>
      <c r="E71" s="25" t="n"/>
      <c r="F71" s="26" t="n"/>
      <c r="G71" s="28">
        <f>IFERROR(F71/$B$5,0)</f>
        <v/>
      </c>
    </row>
    <row r="72" ht="18" customHeight="1">
      <c r="B72" s="29" t="n"/>
      <c r="C72" s="36" t="n"/>
      <c r="D72" s="36" t="n"/>
      <c r="E72" s="30" t="n"/>
      <c r="F72" s="31" t="n"/>
      <c r="G72" s="33">
        <f>IFERROR(F72/$B$5,0)</f>
        <v/>
      </c>
    </row>
    <row r="73" ht="18" customHeight="1">
      <c r="B73" s="24" t="n"/>
      <c r="C73" s="35" t="n"/>
      <c r="D73" s="35" t="n"/>
      <c r="E73" s="25" t="n"/>
      <c r="F73" s="26" t="n"/>
      <c r="G73" s="28">
        <f>IFERROR(F73/$B$5,0)</f>
        <v/>
      </c>
    </row>
    <row r="74" ht="18" customHeight="1">
      <c r="B74" s="29" t="n"/>
      <c r="C74" s="36" t="n"/>
      <c r="D74" s="36" t="n"/>
      <c r="E74" s="30" t="n"/>
      <c r="F74" s="31" t="n"/>
      <c r="G74" s="33">
        <f>IFERROR(F74/$B$5,0)</f>
        <v/>
      </c>
    </row>
    <row r="75" ht="18" customHeight="1">
      <c r="B75" s="24" t="n"/>
      <c r="C75" s="35" t="n"/>
      <c r="D75" s="35" t="n"/>
      <c r="E75" s="25" t="n"/>
      <c r="F75" s="26" t="n"/>
      <c r="G75" s="28">
        <f>IFERROR(F75/$B$5,0)</f>
        <v/>
      </c>
    </row>
    <row r="76" ht="18" customHeight="1">
      <c r="B76" s="29" t="n"/>
      <c r="C76" s="36" t="n"/>
      <c r="D76" s="36" t="n"/>
      <c r="E76" s="30" t="n"/>
      <c r="F76" s="31" t="n"/>
      <c r="G76" s="33">
        <f>IFERROR(F76/$B$5,0)</f>
        <v/>
      </c>
    </row>
    <row r="77" ht="18" customHeight="1">
      <c r="B77" s="24" t="n"/>
      <c r="C77" s="35" t="n"/>
      <c r="D77" s="35" t="n"/>
      <c r="E77" s="25" t="n"/>
      <c r="F77" s="26" t="n"/>
      <c r="G77" s="28">
        <f>IFERROR(F77/$B$5,0)</f>
        <v/>
      </c>
    </row>
    <row r="78" ht="18" customHeight="1">
      <c r="B78" s="29" t="n"/>
      <c r="C78" s="36" t="n"/>
      <c r="D78" s="36" t="n"/>
      <c r="E78" s="30" t="n"/>
      <c r="F78" s="31" t="n"/>
      <c r="G78" s="33">
        <f>IFERROR(F78/$B$5,0)</f>
        <v/>
      </c>
    </row>
    <row r="79" ht="18" customHeight="1">
      <c r="B79" s="24" t="n"/>
      <c r="C79" s="35" t="n"/>
      <c r="D79" s="35" t="n"/>
      <c r="E79" s="25" t="n"/>
      <c r="F79" s="26" t="n"/>
      <c r="G79" s="28">
        <f>IFERROR(F79/$B$5,0)</f>
        <v/>
      </c>
    </row>
    <row r="80" ht="18" customHeight="1">
      <c r="B80" s="29" t="n"/>
      <c r="C80" s="36" t="n"/>
      <c r="D80" s="36" t="n"/>
      <c r="E80" s="30" t="n"/>
      <c r="F80" s="31" t="n"/>
      <c r="G80" s="33">
        <f>IFERROR(F80/$B$5,0)</f>
        <v/>
      </c>
    </row>
    <row r="81" ht="18" customHeight="1">
      <c r="B81" s="24" t="n"/>
      <c r="C81" s="35" t="n"/>
      <c r="D81" s="35" t="n"/>
      <c r="E81" s="25" t="n"/>
      <c r="F81" s="26" t="n"/>
      <c r="G81" s="28">
        <f>IFERROR(F81/$B$5,0)</f>
        <v/>
      </c>
    </row>
    <row r="82" ht="18" customHeight="1">
      <c r="B82" s="29" t="n"/>
      <c r="C82" s="36" t="n"/>
      <c r="D82" s="36" t="n"/>
      <c r="E82" s="30" t="n"/>
      <c r="F82" s="31" t="n"/>
      <c r="G82" s="33">
        <f>IFERROR(F82/$B$5,0)</f>
        <v/>
      </c>
    </row>
    <row r="83" ht="18" customHeight="1">
      <c r="B83" s="24" t="n"/>
      <c r="C83" s="35" t="n"/>
      <c r="D83" s="35" t="n"/>
      <c r="E83" s="25" t="n"/>
      <c r="F83" s="26" t="n"/>
      <c r="G83" s="28">
        <f>IFERROR(F83/$B$5,0)</f>
        <v/>
      </c>
    </row>
    <row r="84" ht="18" customHeight="1">
      <c r="B84" s="29" t="n"/>
      <c r="C84" s="36" t="n"/>
      <c r="D84" s="36" t="n"/>
      <c r="E84" s="30" t="n"/>
      <c r="F84" s="31" t="n"/>
      <c r="G84" s="33">
        <f>IFERROR(F84/$B$5,0)</f>
        <v/>
      </c>
    </row>
    <row r="85" ht="18" customHeight="1">
      <c r="B85" s="24" t="n"/>
      <c r="C85" s="35" t="n"/>
      <c r="D85" s="35" t="n"/>
      <c r="E85" s="25" t="n"/>
      <c r="F85" s="26" t="n"/>
      <c r="G85" s="28">
        <f>IFERROR(F85/$B$5,0)</f>
        <v/>
      </c>
    </row>
    <row r="86" ht="18" customHeight="1">
      <c r="B86" s="29" t="n"/>
      <c r="C86" s="36" t="n"/>
      <c r="D86" s="36" t="n"/>
      <c r="E86" s="30" t="n"/>
      <c r="F86" s="31" t="n"/>
      <c r="G86" s="33">
        <f>IFERROR(F86/$B$5,0)</f>
        <v/>
      </c>
    </row>
    <row r="87" ht="18" customHeight="1">
      <c r="B87" s="24" t="n"/>
      <c r="C87" s="35" t="n"/>
      <c r="D87" s="35" t="n"/>
      <c r="E87" s="25" t="n"/>
      <c r="F87" s="26" t="n"/>
      <c r="G87" s="28">
        <f>IFERROR(F87/$B$5,0)</f>
        <v/>
      </c>
    </row>
    <row r="88" ht="18" customHeight="1">
      <c r="B88" s="29" t="n"/>
      <c r="C88" s="36" t="n"/>
      <c r="D88" s="36" t="n"/>
      <c r="E88" s="30" t="n"/>
      <c r="F88" s="31" t="n"/>
      <c r="G88" s="33">
        <f>IFERROR(F88/$B$5,0)</f>
        <v/>
      </c>
    </row>
    <row r="89" ht="18" customHeight="1">
      <c r="B89" s="24" t="n"/>
      <c r="C89" s="35" t="n"/>
      <c r="D89" s="35" t="n"/>
      <c r="E89" s="25" t="n"/>
      <c r="F89" s="26" t="n"/>
      <c r="G89" s="28">
        <f>IFERROR(F89/$B$5,0)</f>
        <v/>
      </c>
    </row>
    <row r="90" ht="18" customHeight="1">
      <c r="B90" s="29" t="n"/>
      <c r="C90" s="36" t="n"/>
      <c r="D90" s="36" t="n"/>
      <c r="E90" s="30" t="n"/>
      <c r="F90" s="31" t="n"/>
      <c r="G90" s="33">
        <f>IFERROR(F90/$B$5,0)</f>
        <v/>
      </c>
    </row>
    <row r="91" ht="18" customHeight="1">
      <c r="B91" s="24" t="n"/>
      <c r="C91" s="35" t="n"/>
      <c r="D91" s="35" t="n"/>
      <c r="E91" s="25" t="n"/>
      <c r="F91" s="26" t="n"/>
      <c r="G91" s="28">
        <f>IFERROR(F91/$B$5,0)</f>
        <v/>
      </c>
    </row>
    <row r="92" ht="18" customHeight="1">
      <c r="B92" s="29" t="n"/>
      <c r="C92" s="36" t="n"/>
      <c r="D92" s="36" t="n"/>
      <c r="E92" s="30" t="n"/>
      <c r="F92" s="31" t="n"/>
      <c r="G92" s="33">
        <f>IFERROR(F92/$B$5,0)</f>
        <v/>
      </c>
    </row>
    <row r="93" ht="18" customHeight="1">
      <c r="B93" s="24" t="n"/>
      <c r="C93" s="35" t="n"/>
      <c r="D93" s="35" t="n"/>
      <c r="E93" s="25" t="n"/>
      <c r="F93" s="26" t="n"/>
      <c r="G93" s="28">
        <f>IFERROR(F93/$B$5,0)</f>
        <v/>
      </c>
    </row>
    <row r="94" ht="18" customHeight="1">
      <c r="B94" s="29" t="n"/>
      <c r="C94" s="36" t="n"/>
      <c r="D94" s="36" t="n"/>
      <c r="E94" s="30" t="n"/>
      <c r="F94" s="31" t="n"/>
      <c r="G94" s="33">
        <f>IFERROR(F94/$B$5,0)</f>
        <v/>
      </c>
    </row>
    <row r="95" ht="18" customHeight="1">
      <c r="B95" s="24" t="n"/>
      <c r="C95" s="35" t="n"/>
      <c r="D95" s="35" t="n"/>
      <c r="E95" s="25" t="n"/>
      <c r="F95" s="26" t="n"/>
      <c r="G95" s="28">
        <f>IFERROR(F95/$B$5,0)</f>
        <v/>
      </c>
    </row>
    <row r="96" ht="18" customHeight="1">
      <c r="B96" s="29" t="n"/>
      <c r="C96" s="36" t="n"/>
      <c r="D96" s="36" t="n"/>
      <c r="E96" s="30" t="n"/>
      <c r="F96" s="31" t="n"/>
      <c r="G96" s="33">
        <f>IFERROR(F96/$B$5,0)</f>
        <v/>
      </c>
    </row>
    <row r="97" ht="18" customHeight="1">
      <c r="B97" s="24" t="n"/>
      <c r="C97" s="35" t="n"/>
      <c r="D97" s="35" t="n"/>
      <c r="E97" s="25" t="n"/>
      <c r="F97" s="26" t="n"/>
      <c r="G97" s="28">
        <f>IFERROR(F97/$B$5,0)</f>
        <v/>
      </c>
    </row>
    <row r="98" ht="18" customHeight="1">
      <c r="B98" s="29" t="n"/>
      <c r="C98" s="36" t="n"/>
      <c r="D98" s="36" t="n"/>
      <c r="E98" s="30" t="n"/>
      <c r="F98" s="31" t="n"/>
      <c r="G98" s="33">
        <f>IFERROR(F98/$B$5,0)</f>
        <v/>
      </c>
    </row>
    <row r="99" ht="18" customHeight="1">
      <c r="B99" s="24" t="n"/>
      <c r="C99" s="35" t="n"/>
      <c r="D99" s="35" t="n"/>
      <c r="E99" s="25" t="n"/>
      <c r="F99" s="26" t="n"/>
      <c r="G99" s="28">
        <f>IFERROR(F99/$B$5,0)</f>
        <v/>
      </c>
    </row>
    <row r="100" ht="18" customHeight="1">
      <c r="B100" s="29" t="n"/>
      <c r="C100" s="36" t="n"/>
      <c r="D100" s="36" t="n"/>
      <c r="E100" s="30" t="n"/>
      <c r="F100" s="31" t="n"/>
      <c r="G100" s="33">
        <f>IFERROR(F100/$B$5,0)</f>
        <v/>
      </c>
    </row>
    <row r="101" ht="18" customHeight="1">
      <c r="B101" s="24" t="n"/>
      <c r="C101" s="35" t="n"/>
      <c r="D101" s="35" t="n"/>
      <c r="E101" s="25" t="n"/>
      <c r="F101" s="26" t="n"/>
      <c r="G101" s="28">
        <f>IFERROR(F101/$B$5,0)</f>
        <v/>
      </c>
    </row>
    <row r="102" ht="18" customHeight="1">
      <c r="B102" s="29" t="n"/>
      <c r="C102" s="36" t="n"/>
      <c r="D102" s="36" t="n"/>
      <c r="E102" s="30" t="n"/>
      <c r="F102" s="31" t="n"/>
      <c r="G102" s="33">
        <f>IFERROR(F102/$B$5,0)</f>
        <v/>
      </c>
    </row>
    <row r="103" ht="18" customHeight="1">
      <c r="B103" s="24" t="n"/>
      <c r="C103" s="35" t="n"/>
      <c r="D103" s="35" t="n"/>
      <c r="E103" s="25" t="n"/>
      <c r="F103" s="26" t="n"/>
      <c r="G103" s="28">
        <f>IFERROR(F103/$B$5,0)</f>
        <v/>
      </c>
    </row>
    <row r="104" ht="18" customHeight="1">
      <c r="B104" s="29" t="n"/>
      <c r="C104" s="36" t="n"/>
      <c r="D104" s="36" t="n"/>
      <c r="E104" s="30" t="n"/>
      <c r="F104" s="31" t="n"/>
      <c r="G104" s="33">
        <f>IFERROR(F104/$B$5,0)</f>
        <v/>
      </c>
    </row>
    <row r="105" ht="18" customHeight="1">
      <c r="B105" s="24" t="n"/>
      <c r="C105" s="35" t="n"/>
      <c r="D105" s="35" t="n"/>
      <c r="E105" s="25" t="n"/>
      <c r="F105" s="26" t="n"/>
      <c r="G105" s="28">
        <f>IFERROR(F105/$B$5,0)</f>
        <v/>
      </c>
    </row>
    <row r="106" ht="18" customHeight="1">
      <c r="B106" s="29" t="n"/>
      <c r="C106" s="36" t="n"/>
      <c r="D106" s="36" t="n"/>
      <c r="E106" s="30" t="n"/>
      <c r="F106" s="31" t="n"/>
      <c r="G106" s="33">
        <f>IFERROR(F106/$B$5,0)</f>
        <v/>
      </c>
    </row>
    <row r="107" ht="18" customHeight="1">
      <c r="B107" s="24" t="n"/>
      <c r="C107" s="35" t="n"/>
      <c r="D107" s="35" t="n"/>
      <c r="E107" s="25" t="n"/>
      <c r="F107" s="26" t="n"/>
      <c r="G107" s="28">
        <f>IFERROR(F107/$B$5,0)</f>
        <v/>
      </c>
    </row>
    <row r="108" ht="18" customHeight="1">
      <c r="B108" s="29" t="n"/>
      <c r="C108" s="36" t="n"/>
      <c r="D108" s="36" t="n"/>
      <c r="E108" s="30" t="n"/>
      <c r="F108" s="31" t="n"/>
      <c r="G108" s="33">
        <f>IFERROR(F108/$B$5,0)</f>
        <v/>
      </c>
    </row>
    <row r="109" ht="18" customHeight="1">
      <c r="B109" s="24" t="n"/>
      <c r="C109" s="35" t="n"/>
      <c r="D109" s="35" t="n"/>
      <c r="E109" s="25" t="n"/>
      <c r="F109" s="26" t="n"/>
      <c r="G109" s="28">
        <f>IFERROR(F109/$B$5,0)</f>
        <v/>
      </c>
    </row>
    <row r="110" ht="18" customHeight="1">
      <c r="B110" s="29" t="n"/>
      <c r="C110" s="36" t="n"/>
      <c r="D110" s="36" t="n"/>
      <c r="E110" s="30" t="n"/>
      <c r="F110" s="31" t="n"/>
      <c r="G110" s="33">
        <f>IFERROR(F110/$B$5,0)</f>
        <v/>
      </c>
    </row>
  </sheetData>
  <mergeCells count="53">
    <mergeCell ref="B98:D98"/>
    <mergeCell ref="B107:D107"/>
    <mergeCell ref="B101:D101"/>
    <mergeCell ref="B73:D73"/>
    <mergeCell ref="B88:D88"/>
    <mergeCell ref="B82:D82"/>
    <mergeCell ref="J2:M2"/>
    <mergeCell ref="B1:M1"/>
    <mergeCell ref="B78:D78"/>
    <mergeCell ref="B87:D87"/>
    <mergeCell ref="B103:D103"/>
    <mergeCell ref="B108:D108"/>
    <mergeCell ref="B99:D99"/>
    <mergeCell ref="B84:D84"/>
    <mergeCell ref="B74:D74"/>
    <mergeCell ref="B92:D92"/>
    <mergeCell ref="B83:D83"/>
    <mergeCell ref="B95:D95"/>
    <mergeCell ref="B89:D89"/>
    <mergeCell ref="B104:D104"/>
    <mergeCell ref="B5:D5"/>
    <mergeCell ref="H2:I2"/>
    <mergeCell ref="B76:D76"/>
    <mergeCell ref="B80:D80"/>
    <mergeCell ref="B94:D94"/>
    <mergeCell ref="B110:D110"/>
    <mergeCell ref="K4:M4"/>
    <mergeCell ref="C2:G2"/>
    <mergeCell ref="H5:J5"/>
    <mergeCell ref="B79:D79"/>
    <mergeCell ref="B4:D4"/>
    <mergeCell ref="B85:D85"/>
    <mergeCell ref="B97:D97"/>
    <mergeCell ref="B100:D100"/>
    <mergeCell ref="B75:D75"/>
    <mergeCell ref="B106:D106"/>
    <mergeCell ref="B91:D91"/>
    <mergeCell ref="B109:D109"/>
    <mergeCell ref="B81:D81"/>
    <mergeCell ref="B72:D72"/>
    <mergeCell ref="B90:D90"/>
    <mergeCell ref="E5:G5"/>
    <mergeCell ref="K5:M5"/>
    <mergeCell ref="B71:D71"/>
    <mergeCell ref="B93:D93"/>
    <mergeCell ref="B102:D102"/>
    <mergeCell ref="H4:J4"/>
    <mergeCell ref="B96:D96"/>
    <mergeCell ref="E4:G4"/>
    <mergeCell ref="B70:D70"/>
    <mergeCell ref="B105:D105"/>
    <mergeCell ref="B77:D77"/>
    <mergeCell ref="B86:D86"/>
  </mergeCells>
  <printOptions horizontalCentered="1"/>
  <pageMargins left="0.4" right="0.4" top="0.5" bottom="0.5" header="0.5" footer="0.5"/>
  <pageSetup orientation="portrait" paperSize="9" fitToHeight="0" fitToWidth="1"/>
  <rowBreaks count="1" manualBreakCount="1">
    <brk id="41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2026-10-12T22:53:05Z</dcterms:created>
  <dcterms:modified xmlns:dcterms="http://purl.org/dc/terms/" xmlns:xsi="http://www.w3.org/2001/XMLSchema-instance" xsi:type="dcterms:W3CDTF">2026-10-12T22:53:05Z</dcterms:modified>
</cp:coreProperties>
</file>